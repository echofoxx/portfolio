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ced4a587814353" /></Relationships>
</file>

<file path=xl/workbook.xml><?xml version="1.0" encoding="utf-8"?>
<x:workbook xmlns:x="http://schemas.openxmlformats.org/spreadsheetml/2006/main">
  <x:sheets>
    <x:sheet xmlns:r="http://schemas.openxmlformats.org/officeDocument/2006/relationships" name="Summary" sheetId="1" r:id="R03cf403595a64fb6"/>
    <x:sheet xmlns:r="http://schemas.openxmlformats.org/officeDocument/2006/relationships" name="Requirements" sheetId="2" r:id="Rfd8cba5d54bf4e11"/>
    <x:sheet xmlns:r="http://schemas.openxmlformats.org/officeDocument/2006/relationships" name="Scoring &amp; Lifecycle" sheetId="3" r:id="R0e3738aafb1c4032"/>
    <x:sheet xmlns:r="http://schemas.openxmlformats.org/officeDocument/2006/relationships" name="Dashboards &amp; Data" sheetId="4" r:id="R5e2b560dd5224c2c"/>
    <x:sheet xmlns:r="http://schemas.openxmlformats.org/officeDocument/2006/relationships" name="Risks &amp; Decisions" sheetId="5" r:id="R564d9da9b1a64069"/>
    <x:sheet xmlns:r="http://schemas.openxmlformats.org/officeDocument/2006/relationships" name="Sources" sheetId="6" r:id="R8b4db60fabb949c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quot;%&quot;"/>
    <x:numFmt numFmtId="202" formatCode="yyyy-mm-dd"/>
  </x:numFmts>
  <x:fonts count="24">
    <x:font>
      <x:sz val="11"/>
      <x:name val="Carlito"/>
    </x:font>
    <x:font>
      <x:b/>
      <x:sz val="18"/>
      <x:color rgb="FFFFFFFF"/>
      <x:name val="Carlito"/>
    </x:font>
    <x:font>
      <x:i/>
      <x:sz val="10"/>
      <x:color rgb="FF1F2937"/>
      <x:name val="Carlito"/>
    </x:font>
    <x:font>
      <x:b/>
      <x:sz val="12"/>
      <x:color rgb="FF17365D"/>
      <x:name val="Carlito"/>
    </x:font>
    <x:font>
      <x:b/>
      <x:sz val="10"/>
      <x:color rgb="FFFFFFFF"/>
      <x:name val="Carlito"/>
    </x:font>
    <x:font>
      <x:b/>
      <x:sz val="11"/>
      <x:color rgb="FF1F2937"/>
      <x:name val="Carlito"/>
    </x:font>
    <x:font>
      <x:b/>
      <x:sz val="14"/>
      <x:color rgb="FF17365D"/>
      <x:name val="Carlito"/>
    </x:font>
    <x:font>
      <x:b/>
      <x:sz val="11"/>
      <x:color rgb="FF17365D"/>
      <x:name val="Carlito"/>
    </x:font>
    <x:font>
      <x:b/>
      <x:sz val="11"/>
      <x:color rgb="FFFFFFFF"/>
      <x:name val="Carlito"/>
    </x:font>
    <x:font>
      <x:b/>
      <x:sz val="18"/>
      <x:color rgb="FFFFFFFF"/>
      <x:name val="Aptos"/>
    </x:font>
    <x:font>
      <x:i/>
      <x:sz val="11"/>
      <x:color rgb="FF7A5A00"/>
      <x:name val="Carlito"/>
    </x:font>
    <x:font>
      <x:sz val="9"/>
      <x:color rgb="FF1F2937"/>
      <x:name val="Carlito"/>
    </x:font>
    <x:font>
      <x:b/>
      <x:sz val="9"/>
      <x:color rgb="FF17365D"/>
      <x:name val="Carlito"/>
    </x:font>
    <x:font>
      <x:i/>
      <x:sz val="10"/>
      <x:color rgb="FF1F2937"/>
      <x:name val="Aptos"/>
    </x:font>
    <x:font>
      <x:sz val="11"/>
      <x:name val="Aptos"/>
    </x:font>
    <x:font>
      <x:b/>
      <x:sz val="12"/>
      <x:color rgb="FF17365D"/>
      <x:name val="Aptos"/>
    </x:font>
    <x:font>
      <x:b/>
      <x:sz val="10"/>
      <x:color rgb="FFFFFFFF"/>
      <x:name val="Aptos"/>
    </x:font>
    <x:font>
      <x:b/>
      <x:sz val="11"/>
      <x:color rgb="FF1F2937"/>
      <x:name val="Aptos"/>
    </x:font>
    <x:font>
      <x:b/>
      <x:sz val="14"/>
      <x:color rgb="FF17365D"/>
      <x:name val="Aptos"/>
    </x:font>
    <x:font>
      <x:b/>
      <x:sz val="11"/>
      <x:color rgb="FF17365D"/>
      <x:name val="Aptos"/>
    </x:font>
    <x:font>
      <x:b/>
      <x:sz val="11"/>
      <x:color rgb="FFFFFFFF"/>
      <x:name val="Aptos"/>
    </x:font>
    <x:font>
      <x:i/>
      <x:sz val="11"/>
      <x:color rgb="FF7A5A00"/>
      <x:name val="Aptos"/>
    </x:font>
    <x:font>
      <x:b/>
      <x:sz val="9"/>
      <x:color rgb="FF17365D"/>
      <x:name val="Aptos"/>
    </x:font>
    <x:font>
      <x:sz val="9"/>
      <x:color rgb="FF1F2937"/>
      <x:name val="Aptos"/>
    </x:font>
  </x:fonts>
  <x:fills count="9">
    <x:fill>
      <x:patternFill patternType="none"/>
    </x:fill>
    <x:fill>
      <x:patternFill patternType="gray125"/>
    </x:fill>
    <x:fill>
      <x:patternFill patternType="solid">
        <x:fgColor rgb="FF17365D"/>
      </x:patternFill>
    </x:fill>
    <x:fill>
      <x:patternFill patternType="solid">
        <x:fgColor rgb="FFEDF3F8"/>
      </x:patternFill>
    </x:fill>
    <x:fill>
      <x:patternFill patternType="solid">
        <x:fgColor rgb="FFDCE6F1"/>
      </x:patternFill>
    </x:fill>
    <x:fill>
      <x:patternFill patternType="solid">
        <x:fgColor rgb="FF2E74B5"/>
      </x:patternFill>
    </x:fill>
    <x:fill>
      <x:patternFill patternType="solid">
        <x:fgColor rgb="FFF2F4F7"/>
      </x:patternFill>
    </x:fill>
    <x:fill>
      <x:patternFill patternType="solid">
        <x:fgColor rgb="FFF8FAFC"/>
      </x:patternFill>
    </x:fill>
    <x:fill>
      <x:patternFill patternType="solid">
        <x:fgColor rgb="FFFFF4E5"/>
      </x:patternFill>
    </x:fill>
  </x:fills>
  <x:borders count="3">
    <x:border/>
    <x:border>
      <x:left style="thin">
        <x:color rgb="FFC8D4E3"/>
      </x:left>
      <x:right style="thin">
        <x:color rgb="FFC8D4E3"/>
      </x:right>
      <x:top style="thin">
        <x:color rgb="FFC8D4E3"/>
      </x:top>
      <x:bottom style="thin">
        <x:color rgb="FFC8D4E3"/>
      </x:bottom>
    </x:border>
    <x:border>
      <x:left style="thin">
        <x:color rgb="FFD7DEE8"/>
      </x:left>
      <x:right style="thin">
        <x:color rgb="FFD7DEE8"/>
      </x:right>
      <x:top style="thin">
        <x:color rgb="FFD7DEE8"/>
      </x:top>
      <x:bottom style="thin">
        <x:color rgb="FFD7DEE8"/>
      </x:bottom>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6" fillId="3" borderId="0" xfId="0" applyNumberFormat="1" applyFont="1" applyFill="1" applyBorder="1"/>
    <x:xf numFmtId="200" fontId="6" fillId="3" borderId="0" xfId="0" applyNumberFormat="1" applyFont="1" applyFill="1" applyBorder="1"/>
    <x:xf numFmtId="200" fontId="6" fillId="3" borderId="0" xfId="0" applyNumberFormat="1" applyFont="1" applyFill="1" applyBorder="1" applyAlignment="1">
      <x:alignment horizontal="center"/>
    </x:xf>
    <x:xf numFmtId="0" fontId="4" fillId="5" borderId="2" xfId="0" applyNumberFormat="1" applyFont="1" applyFill="1" applyBorder="1" applyAlignment="1">
      <x:alignment horizontal="center" vertical="center" wrapText="1"/>
    </x:xf>
    <x:xf numFmtId="0" fontId="5" fillId="6" borderId="2" xfId="0" applyNumberFormat="1" applyFont="1" applyFill="1" applyBorder="1"/>
    <x:xf numFmtId="200" fontId="6" fillId="3" borderId="2" xfId="0" applyNumberFormat="1" applyFont="1" applyFill="1" applyBorder="1" applyAlignment="1">
      <x:alignment horizont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2"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0" xfId="0" applyNumberFormat="1" applyFont="1" applyFill="1" applyBorder="1" applyAlignment="1">
      <x:alignment horizontal="center" vertical="center" wrapText="1"/>
    </x:xf>
    <x:xf numFmtId="0" fontId="0" fillId="0" borderId="2" xfId="0" applyNumberFormat="1" applyFont="1" applyFill="1" applyBorder="1" applyAlignment="1">
      <x:alignment vertical="center" wrapText="1"/>
    </x:xf>
    <x:xf numFmtId="200" fontId="0" fillId="0" borderId="2" xfId="0" applyNumberFormat="1" applyFont="1" applyFill="1" applyBorder="1" applyAlignment="1">
      <x:alignment horizontal="center" vertical="center" wrapText="1"/>
    </x:xf>
    <x:xf numFmtId="0" fontId="8" fillId="5" borderId="0" xfId="0" applyNumberFormat="1" applyFont="1" applyFill="1" applyBorder="1"/>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8" fillId="5" borderId="2" xfId="0" applyNumberFormat="1" applyFont="1" applyFill="1" applyBorder="1" applyAlignment="1">
      <x:alignment horizontal="center" vertical="center"/>
    </x:xf>
    <x:xf numFmtId="0" fontId="0" fillId="7" borderId="2" xfId="0" applyNumberFormat="1" applyFont="1" applyFill="1" applyBorder="1" applyAlignment="1">
      <x:alignment vertical="center" wrapText="1"/>
    </x:xf>
    <x:xf numFmtId="0" fontId="9" fillId="2"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2" fillId="0" borderId="0" xfId="0" applyNumberFormat="1" applyFont="1" applyFill="1" applyBorder="1" applyAlignment="1">
      <x:alignment vertical="center" wrapText="1"/>
    </x:xf>
    <x:xf numFmtId="0" fontId="12" fillId="0" borderId="0" xfId="0" applyNumberFormat="1" applyFont="1" applyFill="1" applyBorder="1" applyAlignment="1">
      <x:alignment horizontal="center" vertical="center" wrapText="1"/>
    </x:xf>
    <x:xf numFmtId="0" fontId="11" fillId="0"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wrapText="1"/>
    </x:xf>
    <x:xf numFmtId="201" fontId="0" fillId="0" borderId="0" xfId="0" applyNumberFormat="1" applyFont="1" applyFill="1" applyBorder="1" applyAlignment="1">
      <x:alignment horizontal="center" vertical="center" wrapText="1"/>
    </x:xf>
    <x:xf numFmtId="201" fontId="0" fillId="0" borderId="2" xfId="0" applyNumberFormat="1" applyFont="1" applyFill="1" applyBorder="1" applyAlignment="1">
      <x:alignment horizontal="center" vertical="center" wrapText="1"/>
    </x:xf>
    <x:xf numFmtId="201" fontId="7" fillId="3"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2" xfId="0" applyNumberFormat="1" applyFont="1" applyFill="1" applyBorder="1" applyAlignment="1">
      <x:alignment horizontal="center"/>
    </x:xf>
    <x:xf numFmtId="0" fontId="0" fillId="0" borderId="2" xfId="0" applyNumberFormat="1" applyFont="1" applyFill="1" applyBorder="1" applyAlignment="1">
      <x:alignment wrapText="1"/>
    </x:xf>
    <x:xf numFmtId="0" fontId="0" fillId="0" borderId="2" xfId="0" applyNumberFormat="1" applyFont="1" applyFill="1" applyBorder="1"/>
    <x:xf numFmtId="202" fontId="0" fillId="0" borderId="0" xfId="0" applyNumberFormat="1" applyFont="1" applyFill="1" applyBorder="1"/>
    <x:xf numFmtId="202" fontId="0" fillId="0" borderId="2" xfId="0" applyNumberFormat="1" applyFont="1" applyFill="1" applyBorder="1"/>
    <x:xf numFmtId="0" fontId="13" fillId="3" borderId="0" xfId="0" applyNumberFormat="1" applyFont="1" applyFill="1" applyBorder="1" applyAlignment="1">
      <x:alignment vertical="center" wrapText="1"/>
    </x:xf>
    <x:xf numFmtId="0" fontId="14" fillId="0" borderId="0" xfId="0" applyNumberFormat="1" applyFont="1" applyFill="1" applyBorder="1"/>
    <x:xf numFmtId="0" fontId="15" fillId="4" borderId="0" xfId="0" applyNumberFormat="1" applyFont="1" applyFill="1" applyBorder="1" applyAlignment="1">
      <x:alignment vertical="center"/>
    </x:xf>
    <x:xf numFmtId="0" fontId="16" fillId="5" borderId="2" xfId="0" applyNumberFormat="1" applyFont="1" applyFill="1" applyBorder="1" applyAlignment="1">
      <x:alignment horizontal="center" vertical="center" wrapText="1"/>
    </x:xf>
    <x:xf numFmtId="0" fontId="17" fillId="6" borderId="2" xfId="0" applyNumberFormat="1" applyFont="1" applyFill="1" applyBorder="1"/>
    <x:xf numFmtId="200" fontId="18" fillId="3" borderId="2" xfId="0" applyNumberFormat="1" applyFont="1" applyFill="1" applyBorder="1" applyAlignment="1">
      <x:alignment horizontal="center"/>
    </x:xf>
    <x:xf numFmtId="0" fontId="19" fillId="3" borderId="2" xfId="0" applyNumberFormat="1" applyFont="1" applyFill="1" applyBorder="1" applyAlignment="1">
      <x:alignment horizontal="center"/>
    </x:xf>
    <x:xf numFmtId="0" fontId="14" fillId="0" borderId="2" xfId="0" applyNumberFormat="1" applyFont="1" applyFill="1" applyBorder="1" applyAlignment="1">
      <x:alignment vertical="center" wrapText="1"/>
    </x:xf>
    <x:xf numFmtId="200" fontId="14" fillId="0" borderId="2" xfId="0" applyNumberFormat="1" applyFont="1" applyFill="1" applyBorder="1" applyAlignment="1">
      <x:alignment horizontal="center" vertical="center" wrapText="1"/>
    </x:xf>
    <x:xf numFmtId="0" fontId="20" fillId="5" borderId="2" xfId="0" applyNumberFormat="1" applyFont="1" applyFill="1" applyBorder="1" applyAlignment="1">
      <x:alignment horizontal="center" vertical="center"/>
    </x:xf>
    <x:xf numFmtId="0" fontId="14" fillId="7" borderId="2" xfId="0" applyNumberFormat="1" applyFont="1" applyFill="1" applyBorder="1" applyAlignment="1">
      <x:alignment vertical="center" wrapText="1"/>
    </x:xf>
    <x:xf numFmtId="0" fontId="14" fillId="0" borderId="0" xfId="0" applyNumberFormat="1" applyFont="1" applyFill="1" applyBorder="1" applyAlignment="1">
      <x:alignment vertical="center"/>
    </x:xf>
    <x:xf numFmtId="0" fontId="17" fillId="6" borderId="2" xfId="0" applyNumberFormat="1" applyFont="1" applyFill="1" applyBorder="1" applyAlignment="1">
      <x:alignment vertical="center"/>
    </x:xf>
    <x:xf numFmtId="200" fontId="18" fillId="3" borderId="2" xfId="0" applyNumberFormat="1" applyFont="1" applyFill="1" applyBorder="1" applyAlignment="1">
      <x:alignment horizontal="center" vertical="center"/>
    </x:xf>
    <x:xf numFmtId="0" fontId="19" fillId="3" borderId="2" xfId="0" applyNumberFormat="1" applyFont="1" applyFill="1" applyBorder="1" applyAlignment="1">
      <x:alignment horizontal="center" vertical="center"/>
    </x:xf>
    <x:xf numFmtId="0" fontId="21" fillId="8" borderId="0" xfId="0" applyNumberFormat="1" applyFont="1" applyFill="1" applyBorder="1" applyAlignment="1">
      <x:alignment wrapText="1"/>
    </x:xf>
    <x:xf numFmtId="0" fontId="16" fillId="5" borderId="1" xfId="0" applyNumberFormat="1" applyFont="1" applyFill="1" applyBorder="1" applyAlignment="1">
      <x:alignment horizontal="center" vertical="center" wrapText="1"/>
    </x:xf>
    <x:xf numFmtId="0" fontId="22" fillId="0" borderId="0" xfId="0" applyNumberFormat="1" applyFont="1" applyFill="1" applyBorder="1" applyAlignment="1">
      <x:alignment horizontal="center" vertical="center" wrapText="1"/>
    </x:xf>
    <x:xf numFmtId="0" fontId="23" fillId="0" borderId="0" xfId="0" applyNumberFormat="1" applyFont="1" applyFill="1" applyBorder="1" applyAlignment="1">
      <x:alignment vertical="center" wrapText="1"/>
    </x:xf>
    <x:xf numFmtId="0" fontId="23" fillId="0" borderId="0" xfId="0" applyNumberFormat="1" applyFont="1" applyFill="1" applyBorder="1" applyAlignment="1">
      <x:alignment horizontal="center" vertical="center" wrapText="1"/>
    </x:xf>
    <x:xf numFmtId="0" fontId="21" fillId="8" borderId="0" xfId="0" applyNumberFormat="1" applyFont="1" applyFill="1" applyBorder="1" applyAlignment="1">
      <x:alignment vertical="center" wrapText="1"/>
    </x:xf>
    <x:xf numFmtId="201" fontId="14" fillId="0" borderId="2" xfId="0" applyNumberFormat="1" applyFont="1" applyFill="1" applyBorder="1" applyAlignment="1">
      <x:alignment horizontal="center" vertical="center" wrapText="1"/>
    </x:xf>
    <x:xf numFmtId="201" fontId="19" fillId="3" borderId="0" xfId="0" applyNumberFormat="1" applyFont="1" applyFill="1" applyBorder="1"/>
    <x:xf numFmtId="201" fontId="19" fillId="3" borderId="0" xfId="0" applyNumberFormat="1" applyFont="1" applyFill="1" applyBorder="1" applyAlignment="1">
      <x:alignment vertical="center"/>
    </x:xf>
    <x:xf numFmtId="0" fontId="19" fillId="6" borderId="2" xfId="0" applyNumberFormat="1" applyFont="1" applyFill="1" applyBorder="1" applyAlignment="1">
      <x:alignment horizontal="center"/>
    </x:xf>
    <x:xf numFmtId="0" fontId="14" fillId="0" borderId="2" xfId="0" applyNumberFormat="1" applyFont="1" applyFill="1" applyBorder="1" applyAlignment="1">
      <x:alignment wrapText="1"/>
    </x:xf>
    <x:xf numFmtId="0" fontId="14" fillId="0" borderId="2" xfId="0" applyNumberFormat="1" applyFont="1" applyFill="1" applyBorder="1"/>
    <x:xf numFmtId="202" fontId="14" fillId="0" borderId="2" xfId="0" applyNumberFormat="1" applyFont="1" applyFill="1" applyBorder="1"/>
    <x:xf numFmtId="0" fontId="19" fillId="6" borderId="2" xfId="0" applyNumberFormat="1" applyFont="1" applyFill="1" applyBorder="1" applyAlignment="1">
      <x:alignment horizontal="center" vertical="center"/>
    </x:xf>
    <x:xf numFmtId="0" fontId="14" fillId="0" borderId="2" xfId="0" applyNumberFormat="1" applyFont="1" applyFill="1" applyBorder="1" applyAlignment="1">
      <x:alignment vertical="center"/>
    </x:xf>
    <x:xf numFmtId="202" fontId="14" fillId="0" borderId="2" xfId="0" applyNumberFormat="1" applyFont="1" applyFill="1" applyBorder="1" applyAlignment="1">
      <x:alignment vertical="center"/>
    </x:xf>
  </x:cellXfs>
  <x:cellStyles count="1">
    <x:cellStyle name="Normal" xfId="0"/>
  </x:cellStyles>
  <x:dxfs count="7">
    <x:dxf>
      <x:fill>
        <x:patternFill patternType="solid">
          <x:bgColor rgb="FFF8FAFC"/>
        </x:patternFill>
      </x:fill>
    </x:dxf>
    <x:dxf>
      <x:font>
        <x:b/>
        <x:color rgb="FF9B1C1C"/>
      </x:font>
      <x:fill>
        <x:patternFill patternType="solid">
          <x:bgColor rgb="FFFDECEC"/>
        </x:patternFill>
      </x:fill>
    </x:dxf>
    <x:dxf>
      <x:font>
        <x:b/>
        <x:color rgb="FF17365D"/>
      </x:font>
      <x:fill>
        <x:patternFill patternType="solid">
          <x:bgColor rgb="FFEDF3F8"/>
        </x:patternFill>
      </x:fill>
    </x:dxf>
    <x:dxf>
      <x:font>
        <x:b/>
        <x:color rgb="FF7A5A00"/>
      </x:font>
      <x:fill>
        <x:patternFill patternType="solid">
          <x:bgColor rgb="FFFFF4E5"/>
        </x:patternFill>
      </x:fill>
    </x:dxf>
    <x:dxf>
      <x:font>
        <x:b/>
        <x:color rgb="FF1F6B45"/>
      </x:font>
      <x:fill>
        <x:patternFill patternType="solid">
          <x:bgColor rgb="FFE8F5EE"/>
        </x:patternFill>
      </x:fill>
    </x:dxf>
    <x:dxf>
      <x:font>
        <x:b/>
        <x:color rgb="FF9B1C1C"/>
      </x:font>
      <x:fill>
        <x:patternFill patternType="solid">
          <x:bgColor rgb="FFFDECEC"/>
        </x:patternFill>
      </x:fill>
    </x:dxf>
    <x:dxf>
      <x:font>
        <x:b/>
        <x:color rgb="FF9B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8b2079d58c4cbb" /><Relationship Type="http://schemas.openxmlformats.org/officeDocument/2006/relationships/theme" Target="/xl/theme/theme1.xml" Id="R0a9fb85ceb1b49d0" /><Relationship Type="http://schemas.openxmlformats.org/officeDocument/2006/relationships/sharedStrings" Target="/xl/sharedStrings.xml" Id="R5b0a0c3374e54b01" /><Relationship Type="http://schemas.openxmlformats.org/officeDocument/2006/relationships/worksheet" Target="/xl/worksheets/sheet1.xml" Id="R03cf403595a64fb6" /><Relationship Type="http://schemas.openxmlformats.org/officeDocument/2006/relationships/worksheet" Target="/xl/worksheets/sheet2.xml" Id="Rfd8cba5d54bf4e11" /><Relationship Type="http://schemas.openxmlformats.org/officeDocument/2006/relationships/worksheet" Target="/xl/worksheets/sheet3.xml" Id="R0e3738aafb1c4032" /><Relationship Type="http://schemas.openxmlformats.org/officeDocument/2006/relationships/worksheet" Target="/xl/worksheets/sheet4.xml" Id="R5e2b560dd5224c2c" /><Relationship Type="http://schemas.openxmlformats.org/officeDocument/2006/relationships/worksheet" Target="/xl/worksheets/sheet5.xml" Id="R564d9da9b1a64069" /><Relationship Type="http://schemas.openxmlformats.org/officeDocument/2006/relationships/worksheet" Target="/xl/worksheets/sheet6.xml" Id="R8b4db60fabb949c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e0257551954f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Proposed Requirements by Domain</a:t>
            </a:r>
          </a:p>
        </c:rich>
      </c:tx>
    </c:title>
    <c:plotArea>
      <c:barChart>
        <c:barDir val="col"/>
        <c:varyColors val="0"/>
        <c:ser>
          <c:idx val="0"/>
          <c:order val="0"/>
          <c:tx>
            <c:v>Total</c:v>
          </c:tx>
          <c:cat>
            <c:strRef>
              <c:f>'Summary'!$A$13:$A$30</c:f>
              <c:strCache>
                <c:ptCount val="0"/>
              </c:strCache>
            </c:strRef>
          </c:cat>
          <c:val>
            <c:numRef>
              <c:f>'Summary'!$B$13:$B$30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e0257551954fa9"/>
        </a:graphicData>
      </a:graphic>
    </xdr:graphicFrame>
    <xdr:clientData/>
  </xdr:twoCellAnchor>
</xdr:wsDr>
</file>

<file path=xl/tables/table1.xml><?xml version="1.0" encoding="utf-8"?>
<x:table xmlns:x="http://schemas.openxmlformats.org/spreadsheetml/2006/main" id="1" name="RequirementsTable" displayName="RequirementsTable" ref="A6:T313" headerRowCount="1" totalsRowCount="0" totalsRowShown="0">
  <x:autoFilter ref="A6:T313"/>
  <x:tableColumns count="20">
    <x:tableColumn id="1" name="Requirement ID"/>
    <x:tableColumn id="2" name="Domain"/>
    <x:tableColumn id="3" name="Title"/>
    <x:tableColumn id="4" name="Requirement"/>
    <x:tableColumn id="5" name="Priority"/>
    <x:tableColumn id="6" name="Phase"/>
    <x:tableColumn id="7" name="Preliminary Fit"/>
    <x:tableColumn id="8" name="Capability"/>
    <x:tableColumn id="9" name="Accountable Owner"/>
    <x:tableColumn id="10" name="Verification"/>
    <x:tableColumn id="11" name="Status"/>
    <x:tableColumn id="12" name="Rationale / Change Basis"/>
    <x:tableColumn id="13" name="Acceptance Notes"/>
    <x:tableColumn id="14" name="Design Reference"/>
    <x:tableColumn id="15" name="Test Case"/>
    <x:tableColumn id="16" name="UAT Result"/>
    <x:tableColumn id="17" name="Release"/>
    <x:tableColumn id="18" name="ServiceNow Module / Feature"/>
    <x:tableColumn id="19" name="ProjectOS Field / Interface"/>
    <x:tableColumn id="20" name="Decision / 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6d77aa730c24567" /></Relationships>
</file>

<file path=xl/worksheets/_rels/sheet2.xml.rels>&#65279;<?xml version="1.0" encoding="utf-8"?><Relationships xmlns="http://schemas.openxmlformats.org/package/2006/relationships"><Relationship Type="http://schemas.openxmlformats.org/officeDocument/2006/relationships/table" Target="/xl/tables/table1.xml" Id="R508242d836884c9d"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12" hidden="0" customWidth="1"/>
    <x:col min="4" max="4" width="24" hidden="0" customWidth="1"/>
    <x:col min="5" max="5" width="16"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43" t="str">
        <x:v>DDC5I Enterprise Portfolio Requirements — Working Control Dashboard</x:v>
      </x:c>
      <x:c r="B1" s="43" t="str">
        <x:v>DDC5I Enterprise Portfolio Requirements — Working Control Dashboard</x:v>
      </x:c>
      <x:c r="C1" s="43" t="str">
        <x:v>DDC5I Enterprise Portfolio Requirements — Working Control Dashboard</x:v>
      </x:c>
      <x:c r="D1" s="43" t="str">
        <x:v>DDC5I Enterprise Portfolio Requirements — Working Control Dashboard</x:v>
      </x:c>
      <x:c r="E1" s="43" t="str">
        <x:v>DDC5I Enterprise Portfolio Requirements — Working Control Dashboard</x:v>
      </x:c>
      <x:c r="F1" s="43" t="str">
        <x:v>DDC5I Enterprise Portfolio Requirements — Working Control Dashboard</x:v>
      </x:c>
      <x:c r="G1" s="43" t="str">
        <x:v>DDC5I Enterprise Portfolio Requirements — Working Control Dashboard</x:v>
      </x:c>
      <x:c r="H1" s="43" t="str">
        <x:v>DDC5I Enterprise Portfolio Requirements — Working Control Dashboard</x:v>
      </x:c>
      <x:c r="I1" s="43" t="str">
        <x:v>DDC5I Enterprise Portfolio Requirements — Working Control Dashboard</x:v>
      </x:c>
      <x:c r="J1" s="43" t="str">
        <x:v>DDC5I Enterprise Portfolio Requirements — Working Control Dashboard</x:v>
      </x:c>
      <x:c r="K1" s="43" t="str">
        <x:v>DDC5I Enterprise Portfolio Requirements — Working Control Dashboard</x:v>
      </x:c>
      <x:c r="L1" s="43" t="str">
        <x:v>DDC5I Enterprise Portfolio Requirements — Working Control Dashboard</x:v>
      </x:c>
      <x:c r="M1" s="43" t="str">
        <x:v>DDC5I Enterprise Portfolio Requirements — Working Control Dashboard</x:v>
      </x:c>
      <x:c r="N1" s="43" t="str">
        <x:v>DDC5I Enterprise Portfolio Requirements — Working Control Dashboard</x:v>
      </x:c>
    </x:row>
    <x:row r="2" ht="28" customHeight="1">
      <x:c r="A2" s="66" t="str">
        <x:v>Draft 1.2 | 16 July 2026 | Prepared for Jenniffer Minks and DDC5I Senior Leadership | Working baseline—validate before build</x:v>
      </x:c>
      <x:c r="B2" s="66" t="str">
        <x:v>Draft 1.2 | 16 July 2026 | Prepared for Jenniffer Minks and DDC5I Senior Leadership | Working baseline—validate before build</x:v>
      </x:c>
      <x:c r="C2" s="66" t="str">
        <x:v>Draft 1.2 | 16 July 2026 | Prepared for Jenniffer Minks and DDC5I Senior Leadership | Working baseline—validate before build</x:v>
      </x:c>
      <x:c r="D2" s="66" t="str">
        <x:v>Draft 1.2 | 16 July 2026 | Prepared for Jenniffer Minks and DDC5I Senior Leadership | Working baseline—validate before build</x:v>
      </x:c>
      <x:c r="E2" s="66" t="str">
        <x:v>Draft 1.2 | 16 July 2026 | Prepared for Jenniffer Minks and DDC5I Senior Leadership | Working baseline—validate before build</x:v>
      </x:c>
      <x:c r="F2" s="66" t="str">
        <x:v>Draft 1.2 | 16 July 2026 | Prepared for Jenniffer Minks and DDC5I Senior Leadership | Working baseline—validate before build</x:v>
      </x:c>
      <x:c r="G2" s="66" t="str">
        <x:v>Draft 1.2 | 16 July 2026 | Prepared for Jenniffer Minks and DDC5I Senior Leadership | Working baseline—validate before build</x:v>
      </x:c>
      <x:c r="H2" s="66" t="str">
        <x:v>Draft 1.2 | 16 July 2026 | Prepared for Jenniffer Minks and DDC5I Senior Leadership | Working baseline—validate before build</x:v>
      </x:c>
      <x:c r="I2" s="66" t="str">
        <x:v>Draft 1.2 | 16 July 2026 | Prepared for Jenniffer Minks and DDC5I Senior Leadership | Working baseline—validate before build</x:v>
      </x:c>
      <x:c r="J2" s="66" t="str">
        <x:v>Draft 1.2 | 16 July 2026 | Prepared for Jenniffer Minks and DDC5I Senior Leadership | Working baseline—validate before build</x:v>
      </x:c>
      <x:c r="K2" s="66" t="str">
        <x:v>Draft 1.2 | 16 July 2026 | Prepared for Jenniffer Minks and DDC5I Senior Leadership | Working baseline—validate before build</x:v>
      </x:c>
      <x:c r="L2" s="66" t="str">
        <x:v>Draft 1.2 | 16 July 2026 | Prepared for Jenniffer Minks and DDC5I Senior Leadership | Working baseline—validate before build</x:v>
      </x:c>
      <x:c r="M2" s="66" t="str">
        <x:v>Draft 1.2 | 16 July 2026 | Prepared for Jenniffer Minks and DDC5I Senior Leadership | Working baseline—validate before build</x:v>
      </x:c>
      <x:c r="N2" s="66" t="str">
        <x:v>Draft 1.2 | 16 July 2026 | Prepared for Jenniffer Minks and DDC5I Senior Leadership | Working baseline—validate before build</x:v>
      </x:c>
    </x:row>
    <x:row r="3">
      <x:c r="A3" s="77"/>
      <x:c r="B3" s="77"/>
      <x:c r="C3" s="77"/>
      <x:c r="D3" s="77"/>
      <x:c r="E3" s="77"/>
      <x:c r="F3" s="77"/>
      <x:c r="G3" s="77"/>
      <x:c r="H3" s="77"/>
      <x:c r="I3" s="77"/>
      <x:c r="J3" s="77"/>
      <x:c r="K3" s="77"/>
      <x:c r="L3" s="77"/>
      <x:c r="M3" s="77"/>
      <x:c r="N3" s="77"/>
    </x:row>
    <x:row r="4" ht="25" customHeight="1">
      <x:c r="A4" s="68" t="str">
        <x:v>Requirements Baseline</x:v>
      </x:c>
      <x:c r="B4" s="68" t="str">
        <x:v>Requirements Baseline</x:v>
      </x:c>
      <x:c r="C4" s="68" t="str">
        <x:v>Requirements Baseline</x:v>
      </x:c>
      <x:c r="D4" s="68" t="str">
        <x:v>Requirements Baseline</x:v>
      </x:c>
      <x:c r="E4" s="68" t="str">
        <x:v>Requirements Baseline</x:v>
      </x:c>
      <x:c r="F4" s="68" t="str">
        <x:v>Requirements Baseline</x:v>
      </x:c>
      <x:c r="G4" s="68" t="str">
        <x:v>Requirements Baseline</x:v>
      </x:c>
      <x:c r="H4" s="68" t="str">
        <x:v>Requirements Baseline</x:v>
      </x:c>
      <x:c r="I4" s="68" t="str">
        <x:v>Requirements Baseline</x:v>
      </x:c>
      <x:c r="J4" s="68" t="str">
        <x:v>Requirements Baseline</x:v>
      </x:c>
      <x:c r="K4" s="68" t="str">
        <x:v>Requirements Baseline</x:v>
      </x:c>
      <x:c r="L4" s="68" t="str">
        <x:v>Requirements Baseline</x:v>
      </x:c>
      <x:c r="M4" s="68" t="str">
        <x:v>Requirements Baseline</x:v>
      </x:c>
      <x:c r="N4" s="68" t="str">
        <x:v>Requirements Baseline</x:v>
      </x:c>
    </x:row>
    <x:row r="5" ht="30" customHeight="1">
      <x:c r="A5" s="69" t="str">
        <x:v>Metric</x:v>
      </x:c>
      <x:c r="B5" s="69" t="str">
        <x:v>Value</x:v>
      </x:c>
      <x:c r="C5" s="77"/>
      <x:c r="D5" s="69" t="str">
        <x:v>Planning value</x:v>
      </x:c>
      <x:c r="E5" s="69" t="str">
        <x:v>Value</x:v>
      </x:c>
      <x:c r="F5" s="77"/>
      <x:c r="G5" s="77"/>
      <x:c r="H5" s="77"/>
      <x:c r="I5" s="77"/>
      <x:c r="J5" s="77"/>
      <x:c r="K5" s="77"/>
      <x:c r="L5" s="77"/>
      <x:c r="M5" s="77"/>
      <x:c r="N5" s="77"/>
    </x:row>
    <x:row r="6">
      <x:c r="A6" s="78" t="str">
        <x:v>Total proposed requirements</x:v>
      </x:c>
      <x:c r="B6" s="79" t="n">
        <x:f>COUNTA('Requirements'!$A$7:$A$313)</x:f>
        <x:v>307</x:v>
      </x:c>
      <x:c r="C6" s="77"/>
      <x:c r="D6" s="78" t="str">
        <x:v>Divisions in scope</x:v>
      </x:c>
      <x:c r="E6" s="80" t="n">
        <x:v>6</x:v>
      </x:c>
      <x:c r="F6" s="77"/>
      <x:c r="G6" s="77"/>
      <x:c r="H6" s="77"/>
      <x:c r="I6" s="77"/>
      <x:c r="J6" s="77"/>
      <x:c r="K6" s="77"/>
      <x:c r="L6" s="77"/>
      <x:c r="M6" s="77"/>
      <x:c r="N6" s="77"/>
    </x:row>
    <x:row r="7">
      <x:c r="A7" s="78" t="str">
        <x:v>Must requirements</x:v>
      </x:c>
      <x:c r="B7" s="79" t="n">
        <x:f>COUNTIF('Requirements'!$E$7:$E$313,"Must")</x:f>
        <x:v>307</x:v>
      </x:c>
      <x:c r="C7" s="77"/>
      <x:c r="D7" s="78" t="str">
        <x:v>Requirement domains</x:v>
      </x:c>
      <x:c r="E7" s="80" t="n">
        <x:v>18</x:v>
      </x:c>
      <x:c r="F7" s="77"/>
      <x:c r="G7" s="77"/>
      <x:c r="H7" s="77"/>
      <x:c r="I7" s="77"/>
      <x:c r="J7" s="77"/>
      <x:c r="K7" s="77"/>
      <x:c r="L7" s="77"/>
      <x:c r="M7" s="77"/>
      <x:c r="N7" s="77"/>
    </x:row>
    <x:row r="8">
      <x:c r="A8" s="78" t="str">
        <x:v>Phase 1 / MVP requirements</x:v>
      </x:c>
      <x:c r="B8" s="79" t="n">
        <x:f>COUNTIF('Requirements'!$F$7:$F$313,"1")</x:f>
        <x:v>146</x:v>
      </x:c>
      <x:c r="C8" s="77"/>
      <x:c r="D8" s="78" t="str">
        <x:v>Delivery phases</x:v>
      </x:c>
      <x:c r="E8" s="80" t="n">
        <x:v>5</x:v>
      </x:c>
      <x:c r="F8" s="77"/>
      <x:c r="G8" s="77"/>
      <x:c r="H8" s="77"/>
      <x:c r="I8" s="77"/>
      <x:c r="J8" s="77"/>
      <x:c r="K8" s="77"/>
      <x:c r="L8" s="77"/>
      <x:c r="M8" s="77"/>
      <x:c r="N8" s="77"/>
    </x:row>
    <x:row r="9">
      <x:c r="A9" s="78" t="str">
        <x:v>Integration or extension requirements</x:v>
      </x:c>
      <x:c r="B9" s="79" t="n">
        <x:f>COUNTIF('Requirements'!$G$7:$G$313,"Integrate")+COUNTIF('Requirements'!$G$7:$G$313,"Extend")</x:f>
        <x:v>93</x:v>
      </x:c>
      <x:c r="C9" s="77"/>
      <x:c r="D9" s="78" t="str">
        <x:v>Companion specification</x:v>
      </x:c>
      <x:c r="E9" s="80" t="str">
        <x:v>DOCX</x:v>
      </x:c>
      <x:c r="F9" s="77"/>
      <x:c r="G9" s="77"/>
      <x:c r="H9" s="77"/>
      <x:c r="I9" s="77"/>
      <x:c r="J9" s="77"/>
      <x:c r="K9" s="77"/>
      <x:c r="L9" s="77"/>
      <x:c r="M9" s="77"/>
      <x:c r="N9" s="77"/>
    </x:row>
    <x:row r="10">
      <x:c r="A10" s="77"/>
      <x:c r="B10" s="77"/>
      <x:c r="C10" s="77"/>
      <x:c r="D10" s="77"/>
      <x:c r="E10" s="77"/>
      <x:c r="F10" s="77"/>
      <x:c r="G10" s="77"/>
      <x:c r="H10" s="77"/>
      <x:c r="I10" s="77"/>
      <x:c r="J10" s="77"/>
      <x:c r="K10" s="77"/>
      <x:c r="L10" s="77"/>
      <x:c r="M10" s="77"/>
      <x:c r="N10" s="77"/>
    </x:row>
    <x:row r="11" ht="25" customHeight="1">
      <x:c r="A11" s="68" t="str">
        <x:v>Requirements by Domain</x:v>
      </x:c>
      <x:c r="B11" s="68" t="str">
        <x:v>Requirements by Domain</x:v>
      </x:c>
      <x:c r="C11" s="68" t="str">
        <x:v>Requirements by Domain</x:v>
      </x:c>
      <x:c r="D11" s="68" t="str">
        <x:v>Requirements by Domain</x:v>
      </x:c>
      <x:c r="E11" s="68" t="str">
        <x:v>Requirements by Domain</x:v>
      </x:c>
      <x:c r="F11" s="77"/>
      <x:c r="G11" s="77"/>
      <x:c r="H11" s="77"/>
      <x:c r="I11" s="77"/>
      <x:c r="J11" s="77"/>
      <x:c r="K11" s="77"/>
      <x:c r="L11" s="77"/>
      <x:c r="M11" s="77"/>
      <x:c r="N11" s="77"/>
    </x:row>
    <x:row r="12" ht="30" customHeight="1">
      <x:c r="A12" s="69" t="str">
        <x:v>Domain</x:v>
      </x:c>
      <x:c r="B12" s="69" t="str">
        <x:v>Total</x:v>
      </x:c>
      <x:c r="C12" s="69" t="str">
        <x:v>Must</x:v>
      </x:c>
      <x:c r="D12" s="69" t="str">
        <x:v>Phase 1</x:v>
      </x:c>
      <x:c r="E12" s="77"/>
      <x:c r="F12" s="77"/>
      <x:c r="G12" s="77"/>
      <x:c r="H12" s="77"/>
      <x:c r="I12" s="77"/>
      <x:c r="J12" s="77"/>
      <x:c r="K12" s="77"/>
      <x:c r="L12" s="77"/>
      <x:c r="M12" s="77"/>
      <x:c r="N12" s="77"/>
    </x:row>
    <x:row r="13">
      <x:c r="A13" s="73" t="str">
        <x:v>Strategy, Mission Alignment, and Governance</x:v>
      </x:c>
      <x:c r="B13" s="74" t="n">
        <x:f>COUNTIF('Requirements'!$B$7:$B$313,A13)</x:f>
        <x:v>15</x:v>
      </x:c>
      <x:c r="C13" s="74" t="n">
        <x:f>COUNTIFS('Requirements'!$B$7:$B$313,A13,'Requirements'!$E$7:$E$313,"Must")</x:f>
        <x:v>15</x:v>
      </x:c>
      <x:c r="D13" s="74" t="n">
        <x:f>COUNTIFS('Requirements'!$B$7:$B$313,A13,'Requirements'!$F$7:$F$313,"1")</x:f>
        <x:v>13</x:v>
      </x:c>
      <x:c r="E13" s="77"/>
      <x:c r="F13" s="77"/>
      <x:c r="G13" s="77"/>
      <x:c r="H13" s="77"/>
      <x:c r="I13" s="77"/>
      <x:c r="J13" s="77"/>
      <x:c r="K13" s="77"/>
      <x:c r="L13" s="77"/>
      <x:c r="M13" s="77"/>
      <x:c r="N13" s="77"/>
    </x:row>
    <x:row r="14">
      <x:c r="A14" s="73" t="str">
        <x:v>Organization, Roles, and Stakeholders</x:v>
      </x:c>
      <x:c r="B14" s="74" t="n">
        <x:f>COUNTIF('Requirements'!$B$7:$B$313,A14)</x:f>
        <x:v>12</x:v>
      </x:c>
      <x:c r="C14" s="74" t="n">
        <x:f>COUNTIFS('Requirements'!$B$7:$B$313,A14,'Requirements'!$E$7:$E$313,"Must")</x:f>
        <x:v>12</x:v>
      </x:c>
      <x:c r="D14" s="74" t="n">
        <x:f>COUNTIFS('Requirements'!$B$7:$B$313,A14,'Requirements'!$F$7:$F$313,"1")</x:f>
        <x:v>5</x:v>
      </x:c>
      <x:c r="E14" s="77"/>
      <x:c r="F14" s="77"/>
      <x:c r="G14" s="77"/>
      <x:c r="H14" s="77"/>
      <x:c r="I14" s="77"/>
      <x:c r="J14" s="77"/>
      <x:c r="K14" s="77"/>
      <x:c r="L14" s="77"/>
      <x:c r="M14" s="77"/>
      <x:c r="N14" s="77"/>
    </x:row>
    <x:row r="15">
      <x:c r="A15" s="73" t="str">
        <x:v>Demand and Work Intake</x:v>
      </x:c>
      <x:c r="B15" s="74" t="n">
        <x:f>COUNTIF('Requirements'!$B$7:$B$313,A15)</x:f>
        <x:v>18</x:v>
      </x:c>
      <x:c r="C15" s="74" t="n">
        <x:f>COUNTIFS('Requirements'!$B$7:$B$313,A15,'Requirements'!$E$7:$E$313,"Must")</x:f>
        <x:v>18</x:v>
      </x:c>
      <x:c r="D15" s="74" t="n">
        <x:f>COUNTIFS('Requirements'!$B$7:$B$313,A15,'Requirements'!$F$7:$F$313,"1")</x:f>
        <x:v>15</x:v>
      </x:c>
      <x:c r="E15" s="77"/>
      <x:c r="F15" s="77"/>
      <x:c r="G15" s="77"/>
      <x:c r="H15" s="77"/>
      <x:c r="I15" s="77"/>
      <x:c r="J15" s="77"/>
      <x:c r="K15" s="77"/>
      <x:c r="L15" s="77"/>
      <x:c r="M15" s="77"/>
      <x:c r="N15" s="77"/>
    </x:row>
    <x:row r="16">
      <x:c r="A16" s="73" t="str">
        <x:v>Assessment, Prioritization, and Approval</x:v>
      </x:c>
      <x:c r="B16" s="74" t="n">
        <x:f>COUNTIF('Requirements'!$B$7:$B$313,A16)</x:f>
        <x:v>18</x:v>
      </x:c>
      <x:c r="C16" s="74" t="n">
        <x:f>COUNTIFS('Requirements'!$B$7:$B$313,A16,'Requirements'!$E$7:$E$313,"Must")</x:f>
        <x:v>18</x:v>
      </x:c>
      <x:c r="D16" s="74" t="n">
        <x:f>COUNTIFS('Requirements'!$B$7:$B$313,A16,'Requirements'!$F$7:$F$313,"1")</x:f>
        <x:v>13</x:v>
      </x:c>
      <x:c r="E16" s="77"/>
      <x:c r="F16" s="77"/>
      <x:c r="G16" s="77"/>
      <x:c r="H16" s="77"/>
      <x:c r="I16" s="77"/>
      <x:c r="J16" s="77"/>
      <x:c r="K16" s="77"/>
      <x:c r="L16" s="77"/>
      <x:c r="M16" s="77"/>
      <x:c r="N16" s="77"/>
    </x:row>
    <x:row r="17">
      <x:c r="A17" s="73" t="str">
        <x:v>Portfolio and Core-Function Management</x:v>
      </x:c>
      <x:c r="B17" s="74" t="n">
        <x:f>COUNTIF('Requirements'!$B$7:$B$313,A17)</x:f>
        <x:v>20</x:v>
      </x:c>
      <x:c r="C17" s="74" t="n">
        <x:f>COUNTIFS('Requirements'!$B$7:$B$313,A17,'Requirements'!$E$7:$E$313,"Must")</x:f>
        <x:v>20</x:v>
      </x:c>
      <x:c r="D17" s="74" t="n">
        <x:f>COUNTIFS('Requirements'!$B$7:$B$313,A17,'Requirements'!$F$7:$F$313,"1")</x:f>
        <x:v>6</x:v>
      </x:c>
      <x:c r="E17" s="77"/>
      <x:c r="F17" s="77"/>
      <x:c r="G17" s="77"/>
      <x:c r="H17" s="77"/>
      <x:c r="I17" s="77"/>
      <x:c r="J17" s="77"/>
      <x:c r="K17" s="77"/>
      <x:c r="L17" s="77"/>
      <x:c r="M17" s="77"/>
      <x:c r="N17" s="77"/>
    </x:row>
    <x:row r="18">
      <x:c r="A18" s="73" t="str">
        <x:v>Portfolio Value, Methods, Blueprints, and Enterprise Scaling</x:v>
      </x:c>
      <x:c r="B18" s="74" t="n">
        <x:f>COUNTIF('Requirements'!$B$7:$B$313,A18)</x:f>
        <x:v>26</x:v>
      </x:c>
      <x:c r="C18" s="74" t="n">
        <x:f>COUNTIFS('Requirements'!$B$7:$B$313,A18,'Requirements'!$E$7:$E$313,"Must")</x:f>
        <x:v>26</x:v>
      </x:c>
      <x:c r="D18" s="74" t="n">
        <x:f>COUNTIFS('Requirements'!$B$7:$B$313,A18,'Requirements'!$F$7:$F$313,"1")</x:f>
        <x:v>8</x:v>
      </x:c>
      <x:c r="E18" s="77"/>
      <x:c r="F18" s="77"/>
      <x:c r="G18" s="77"/>
      <x:c r="H18" s="77"/>
      <x:c r="I18" s="77"/>
      <x:c r="J18" s="77"/>
      <x:c r="K18" s="77"/>
      <x:c r="L18" s="77"/>
      <x:c r="M18" s="77"/>
      <x:c r="N18" s="77"/>
    </x:row>
    <x:row r="19">
      <x:c r="A19" s="73" t="str">
        <x:v>ProjectOS Execution and Delivery Management</x:v>
      </x:c>
      <x:c r="B19" s="74" t="n">
        <x:f>COUNTIF('Requirements'!$B$7:$B$313,A19)</x:f>
        <x:v>22</x:v>
      </x:c>
      <x:c r="C19" s="74" t="n">
        <x:f>COUNTIFS('Requirements'!$B$7:$B$313,A19,'Requirements'!$E$7:$E$313,"Must")</x:f>
        <x:v>22</x:v>
      </x:c>
      <x:c r="D19" s="74" t="n">
        <x:f>COUNTIFS('Requirements'!$B$7:$B$313,A19,'Requirements'!$F$7:$F$313,"1")</x:f>
        <x:v>14</x:v>
      </x:c>
      <x:c r="E19" s="77"/>
      <x:c r="F19" s="77"/>
      <x:c r="G19" s="77"/>
      <x:c r="H19" s="77"/>
      <x:c r="I19" s="77"/>
      <x:c r="J19" s="77"/>
      <x:c r="K19" s="77"/>
      <x:c r="L19" s="77"/>
      <x:c r="M19" s="77"/>
      <x:c r="N19" s="77"/>
    </x:row>
    <x:row r="20">
      <x:c r="A20" s="73" t="str">
        <x:v>People, Capacity, Skills, and Role Management</x:v>
      </x:c>
      <x:c r="B20" s="74" t="n">
        <x:f>COUNTIF('Requirements'!$B$7:$B$313,A20)</x:f>
        <x:v>22</x:v>
      </x:c>
      <x:c r="C20" s="74" t="n">
        <x:f>COUNTIFS('Requirements'!$B$7:$B$313,A20,'Requirements'!$E$7:$E$313,"Must")</x:f>
        <x:v>22</x:v>
      </x:c>
      <x:c r="D20" s="74" t="n">
        <x:f>COUNTIFS('Requirements'!$B$7:$B$313,A20,'Requirements'!$F$7:$F$313,"1")</x:f>
        <x:v>0</x:v>
      </x:c>
      <x:c r="E20" s="77"/>
      <x:c r="F20" s="77"/>
      <x:c r="G20" s="77"/>
      <x:c r="H20" s="77"/>
      <x:c r="I20" s="77"/>
      <x:c r="J20" s="77"/>
      <x:c r="K20" s="77"/>
      <x:c r="L20" s="77"/>
      <x:c r="M20" s="77"/>
      <x:c r="N20" s="77"/>
    </x:row>
    <x:row r="21">
      <x:c r="A21" s="73" t="str">
        <x:v>Budget, Cost, Actuals, and Investment Management</x:v>
      </x:c>
      <x:c r="B21" s="74" t="n">
        <x:f>COUNTIF('Requirements'!$B$7:$B$313,A21)</x:f>
        <x:v>15</x:v>
      </x:c>
      <x:c r="C21" s="74" t="n">
        <x:f>COUNTIFS('Requirements'!$B$7:$B$313,A21,'Requirements'!$E$7:$E$313,"Must")</x:f>
        <x:v>15</x:v>
      </x:c>
      <x:c r="D21" s="74" t="n">
        <x:f>COUNTIFS('Requirements'!$B$7:$B$313,A21,'Requirements'!$F$7:$F$313,"1")</x:f>
        <x:v>0</x:v>
      </x:c>
      <x:c r="E21" s="77"/>
      <x:c r="F21" s="77"/>
      <x:c r="G21" s="77"/>
      <x:c r="H21" s="77"/>
      <x:c r="I21" s="77"/>
      <x:c r="J21" s="77"/>
      <x:c r="K21" s="77"/>
      <x:c r="L21" s="77"/>
      <x:c r="M21" s="77"/>
      <x:c r="N21" s="77"/>
    </x:row>
    <x:row r="22">
      <x:c r="A22" s="73" t="str">
        <x:v>Forecasting, Scenario Planning, and Change Impact</x:v>
      </x:c>
      <x:c r="B22" s="74" t="n">
        <x:f>COUNTIF('Requirements'!$B$7:$B$313,A22)</x:f>
        <x:v>16</x:v>
      </x:c>
      <x:c r="C22" s="74" t="n">
        <x:f>COUNTIFS('Requirements'!$B$7:$B$313,A22,'Requirements'!$E$7:$E$313,"Must")</x:f>
        <x:v>16</x:v>
      </x:c>
      <x:c r="D22" s="74" t="n">
        <x:f>COUNTIFS('Requirements'!$B$7:$B$313,A22,'Requirements'!$F$7:$F$313,"1")</x:f>
        <x:v>0</x:v>
      </x:c>
      <x:c r="E22" s="77"/>
      <x:c r="F22" s="77"/>
      <x:c r="G22" s="77"/>
      <x:c r="H22" s="77"/>
      <x:c r="I22" s="77"/>
      <x:c r="J22" s="77"/>
      <x:c r="K22" s="77"/>
      <x:c r="L22" s="77"/>
      <x:c r="M22" s="77"/>
      <x:c r="N22" s="77"/>
    </x:row>
    <x:row r="23">
      <x:c r="A23" s="73" t="str">
        <x:v>Dashboards, Reporting, and the DDC5I Story</x:v>
      </x:c>
      <x:c r="B23" s="74" t="n">
        <x:f>COUNTIF('Requirements'!$B$7:$B$313,A23)</x:f>
        <x:v>20</x:v>
      </x:c>
      <x:c r="C23" s="74" t="n">
        <x:f>COUNTIFS('Requirements'!$B$7:$B$313,A23,'Requirements'!$E$7:$E$313,"Must")</x:f>
        <x:v>20</x:v>
      </x:c>
      <x:c r="D23" s="74" t="n">
        <x:f>COUNTIFS('Requirements'!$B$7:$B$313,A23,'Requirements'!$F$7:$F$313,"1")</x:f>
        <x:v>7</x:v>
      </x:c>
      <x:c r="E23" s="77"/>
      <x:c r="F23" s="77"/>
      <x:c r="G23" s="77"/>
      <x:c r="H23" s="77"/>
      <x:c r="I23" s="77"/>
      <x:c r="J23" s="77"/>
      <x:c r="K23" s="77"/>
      <x:c r="L23" s="77"/>
      <x:c r="M23" s="77"/>
      <x:c r="N23" s="77"/>
    </x:row>
    <x:row r="24">
      <x:c r="A24" s="73" t="str">
        <x:v>Collaboration, Notifications, and Approvals</x:v>
      </x:c>
      <x:c r="B24" s="74" t="n">
        <x:f>COUNTIF('Requirements'!$B$7:$B$313,A24)</x:f>
        <x:v>13</x:v>
      </x:c>
      <x:c r="C24" s="74" t="n">
        <x:f>COUNTIFS('Requirements'!$B$7:$B$313,A24,'Requirements'!$E$7:$E$313,"Must")</x:f>
        <x:v>13</x:v>
      </x:c>
      <x:c r="D24" s="74" t="n">
        <x:f>COUNTIFS('Requirements'!$B$7:$B$313,A24,'Requirements'!$F$7:$F$313,"1")</x:f>
        <x:v>4</x:v>
      </x:c>
      <x:c r="E24" s="77"/>
      <x:c r="F24" s="77"/>
      <x:c r="G24" s="77"/>
      <x:c r="H24" s="77"/>
      <x:c r="I24" s="77"/>
      <x:c r="J24" s="77"/>
      <x:c r="K24" s="77"/>
      <x:c r="L24" s="77"/>
      <x:c r="M24" s="77"/>
      <x:c r="N24" s="77"/>
    </x:row>
    <x:row r="25">
      <x:c r="A25" s="73" t="str">
        <x:v>Data, Excel, APIs, and Enterprise Integration</x:v>
      </x:c>
      <x:c r="B25" s="74" t="n">
        <x:f>COUNTIF('Requirements'!$B$7:$B$313,A25)</x:f>
        <x:v>21</x:v>
      </x:c>
      <x:c r="C25" s="74" t="n">
        <x:f>COUNTIFS('Requirements'!$B$7:$B$313,A25,'Requirements'!$E$7:$E$313,"Must")</x:f>
        <x:v>21</x:v>
      </x:c>
      <x:c r="D25" s="74" t="n">
        <x:f>COUNTIFS('Requirements'!$B$7:$B$313,A25,'Requirements'!$F$7:$F$313,"1")</x:f>
        <x:v>8</x:v>
      </x:c>
      <x:c r="E25" s="77"/>
      <x:c r="F25" s="77"/>
      <x:c r="G25" s="77"/>
      <x:c r="H25" s="77"/>
      <x:c r="I25" s="77"/>
      <x:c r="J25" s="77"/>
      <x:c r="K25" s="77"/>
      <x:c r="L25" s="77"/>
      <x:c r="M25" s="77"/>
      <x:c r="N25" s="77"/>
    </x:row>
    <x:row r="26">
      <x:c r="A26" s="73" t="str">
        <x:v>Security, Privacy, Records, and Compliance</x:v>
      </x:c>
      <x:c r="B26" s="74" t="n">
        <x:f>COUNTIF('Requirements'!$B$7:$B$313,A26)</x:f>
        <x:v>19</x:v>
      </x:c>
      <x:c r="C26" s="74" t="n">
        <x:f>COUNTIFS('Requirements'!$B$7:$B$313,A26,'Requirements'!$E$7:$E$313,"Must")</x:f>
        <x:v>19</x:v>
      </x:c>
      <x:c r="D26" s="74" t="n">
        <x:f>COUNTIFS('Requirements'!$B$7:$B$313,A26,'Requirements'!$F$7:$F$313,"1")</x:f>
        <x:v>17</x:v>
      </x:c>
      <x:c r="E26" s="77"/>
      <x:c r="F26" s="77"/>
      <x:c r="G26" s="77"/>
      <x:c r="H26" s="77"/>
      <x:c r="I26" s="77"/>
      <x:c r="J26" s="77"/>
      <x:c r="K26" s="77"/>
      <x:c r="L26" s="77"/>
      <x:c r="M26" s="77"/>
      <x:c r="N26" s="77"/>
    </x:row>
    <x:row r="27">
      <x:c r="A27" s="73" t="str">
        <x:v>Nonfunctional and Quality Requirements</x:v>
      </x:c>
      <x:c r="B27" s="74" t="n">
        <x:f>COUNTIF('Requirements'!$B$7:$B$313,A27)</x:f>
        <x:v>17</x:v>
      </x:c>
      <x:c r="C27" s="74" t="n">
        <x:f>COUNTIFS('Requirements'!$B$7:$B$313,A27,'Requirements'!$E$7:$E$313,"Must")</x:f>
        <x:v>17</x:v>
      </x:c>
      <x:c r="D27" s="74" t="n">
        <x:f>COUNTIFS('Requirements'!$B$7:$B$313,A27,'Requirements'!$F$7:$F$313,"1")</x:f>
        <x:v>17</x:v>
      </x:c>
      <x:c r="E27" s="77"/>
      <x:c r="F27" s="77"/>
      <x:c r="G27" s="77"/>
      <x:c r="H27" s="77"/>
      <x:c r="I27" s="77"/>
      <x:c r="J27" s="77"/>
      <x:c r="K27" s="77"/>
      <x:c r="L27" s="77"/>
      <x:c r="M27" s="77"/>
      <x:c r="N27" s="77"/>
    </x:row>
    <x:row r="28">
      <x:c r="A28" s="73" t="str">
        <x:v>Administration, Configuration, and Data Quality</x:v>
      </x:c>
      <x:c r="B28" s="74" t="n">
        <x:f>COUNTIF('Requirements'!$B$7:$B$313,A28)</x:f>
        <x:v>13</x:v>
      </x:c>
      <x:c r="C28" s="74" t="n">
        <x:f>COUNTIFS('Requirements'!$B$7:$B$313,A28,'Requirements'!$E$7:$E$313,"Must")</x:f>
        <x:v>13</x:v>
      </x:c>
      <x:c r="D28" s="74" t="n">
        <x:f>COUNTIFS('Requirements'!$B$7:$B$313,A28,'Requirements'!$F$7:$F$313,"1")</x:f>
        <x:v>7</x:v>
      </x:c>
      <x:c r="E28" s="77"/>
      <x:c r="F28" s="77"/>
      <x:c r="G28" s="77"/>
      <x:c r="H28" s="77"/>
      <x:c r="I28" s="77"/>
      <x:c r="J28" s="77"/>
      <x:c r="K28" s="77"/>
      <x:c r="L28" s="77"/>
      <x:c r="M28" s="77"/>
      <x:c r="N28" s="77"/>
    </x:row>
    <x:row r="29">
      <x:c r="A29" s="73" t="str">
        <x:v>Responsible AI and Decision Support</x:v>
      </x:c>
      <x:c r="B29" s="74" t="n">
        <x:f>COUNTIF('Requirements'!$B$7:$B$313,A29)</x:f>
        <x:v>8</x:v>
      </x:c>
      <x:c r="C29" s="74" t="n">
        <x:f>COUNTIFS('Requirements'!$B$7:$B$313,A29,'Requirements'!$E$7:$E$313,"Must")</x:f>
        <x:v>8</x:v>
      </x:c>
      <x:c r="D29" s="74" t="n">
        <x:f>COUNTIFS('Requirements'!$B$7:$B$313,A29,'Requirements'!$F$7:$F$313,"1")</x:f>
        <x:v>0</x:v>
      </x:c>
      <x:c r="E29" s="77"/>
      <x:c r="F29" s="77"/>
      <x:c r="G29" s="77"/>
      <x:c r="H29" s="77"/>
      <x:c r="I29" s="77"/>
      <x:c r="J29" s="77"/>
      <x:c r="K29" s="77"/>
      <x:c r="L29" s="77"/>
      <x:c r="M29" s="77"/>
      <x:c r="N29" s="77"/>
    </x:row>
    <x:row r="30">
      <x:c r="A30" s="73" t="str">
        <x:v>Implementation, Migration, Adoption, and Operations</x:v>
      </x:c>
      <x:c r="B30" s="74" t="n">
        <x:f>COUNTIF('Requirements'!$B$7:$B$313,A30)</x:f>
        <x:v>12</x:v>
      </x:c>
      <x:c r="C30" s="74" t="n">
        <x:f>COUNTIFS('Requirements'!$B$7:$B$313,A30,'Requirements'!$E$7:$E$313,"Must")</x:f>
        <x:v>12</x:v>
      </x:c>
      <x:c r="D30" s="74" t="n">
        <x:f>COUNTIFS('Requirements'!$B$7:$B$313,A30,'Requirements'!$F$7:$F$313,"1")</x:f>
        <x:v>12</x:v>
      </x:c>
      <x:c r="E30" s="77"/>
      <x:c r="F30" s="77"/>
      <x:c r="G30" s="77"/>
      <x:c r="H30" s="77"/>
      <x:c r="I30" s="77"/>
      <x:c r="J30" s="77"/>
      <x:c r="K30" s="77"/>
      <x:c r="L30" s="77"/>
      <x:c r="M30" s="77"/>
      <x:c r="N30" s="77"/>
    </x:row>
    <x:row r="31">
      <x:c r="A31" s="77"/>
      <x:c r="B31" s="77"/>
      <x:c r="C31" s="77"/>
      <x:c r="D31" s="77"/>
      <x:c r="E31" s="77"/>
      <x:c r="F31" s="77"/>
      <x:c r="G31" s="77"/>
      <x:c r="H31" s="77"/>
      <x:c r="I31" s="77"/>
      <x:c r="J31" s="77"/>
      <x:c r="K31" s="77"/>
      <x:c r="L31" s="77"/>
      <x:c r="M31" s="77"/>
      <x:c r="N31" s="77"/>
    </x:row>
    <x:row r="32" ht="25" customHeight="1">
      <x:c r="A32" s="68" t="str">
        <x:v>How to Use This Workbook</x:v>
      </x:c>
      <x:c r="B32" s="68" t="str">
        <x:v>How to Use This Workbook</x:v>
      </x:c>
      <x:c r="C32" s="68" t="str">
        <x:v>How to Use This Workbook</x:v>
      </x:c>
      <x:c r="D32" s="68" t="str">
        <x:v>How to Use This Workbook</x:v>
      </x:c>
      <x:c r="E32" s="68" t="str">
        <x:v>How to Use This Workbook</x:v>
      </x:c>
      <x:c r="F32" s="77"/>
      <x:c r="G32" s="77"/>
      <x:c r="H32" s="77"/>
      <x:c r="I32" s="77"/>
      <x:c r="J32" s="77"/>
      <x:c r="K32" s="77"/>
      <x:c r="L32" s="77"/>
      <x:c r="M32" s="77"/>
      <x:c r="N32" s="77"/>
    </x:row>
    <x:row r="33" ht="34" customHeight="1">
      <x:c r="A33" s="75" t="str">
        <x:v>1</x:v>
      </x:c>
      <x:c r="B33" s="76" t="str">
        <x:v>Validate each requirement with the accountable business and technical owner.</x:v>
      </x:c>
      <x:c r="C33" s="76" t="str"/>
      <x:c r="D33" s="76" t="str"/>
      <x:c r="E33" s="76" t="str"/>
      <x:c r="F33" s="77"/>
      <x:c r="G33" s="77"/>
      <x:c r="H33" s="77"/>
      <x:c r="I33" s="77"/>
      <x:c r="J33" s="77"/>
      <x:c r="K33" s="77"/>
      <x:c r="L33" s="77"/>
      <x:c r="M33" s="77"/>
      <x:c r="N33" s="77"/>
    </x:row>
    <x:row r="34" ht="34" customHeight="1">
      <x:c r="A34" s="75" t="str">
        <x:v>2</x:v>
      </x:c>
      <x:c r="B34" s="76" t="str">
        <x:v>Update Priority, Phase, Fit, Owner, Verification, and Status; record rationale for changes.</x:v>
      </x:c>
      <x:c r="C34" s="76" t="str"/>
      <x:c r="D34" s="76" t="str"/>
      <x:c r="E34" s="76" t="str"/>
      <x:c r="F34" s="77"/>
      <x:c r="G34" s="77"/>
      <x:c r="H34" s="77"/>
      <x:c r="I34" s="77"/>
      <x:c r="J34" s="77"/>
      <x:c r="K34" s="77"/>
      <x:c r="L34" s="77"/>
      <x:c r="M34" s="77"/>
      <x:c r="N34" s="77"/>
    </x:row>
    <x:row r="35" ht="34" customHeight="1">
      <x:c r="A35" s="75" t="str">
        <x:v>3</x:v>
      </x:c>
      <x:c r="B35" s="76" t="str">
        <x:v>Add design, test, UAT, release, ServiceNow module, ProjectOS field, and decision references as implementation matures.</x:v>
      </x:c>
      <x:c r="C35" s="76" t="str"/>
      <x:c r="D35" s="76" t="str"/>
      <x:c r="E35" s="76" t="str"/>
      <x:c r="F35" s="77"/>
      <x:c r="G35" s="77"/>
      <x:c r="H35" s="77"/>
      <x:c r="I35" s="77"/>
      <x:c r="J35" s="77"/>
      <x:c r="K35" s="77"/>
      <x:c r="L35" s="77"/>
      <x:c r="M35" s="77"/>
      <x:c r="N35" s="77"/>
    </x:row>
    <x:row r="36" ht="34" customHeight="1">
      <x:c r="A36" s="75" t="str">
        <x:v>4</x:v>
      </x:c>
      <x:c r="B36" s="76" t="str">
        <x:v>Use filters to identify MVP scope, integration work, extensions, owner gaps, and unverified requirements.</x:v>
      </x:c>
      <x:c r="C36" s="76" t="str"/>
      <x:c r="D36" s="76" t="str"/>
      <x:c r="E36" s="76" t="str"/>
      <x:c r="F36" s="77"/>
      <x:c r="G36" s="77"/>
      <x:c r="H36" s="77"/>
      <x:c r="I36" s="77"/>
      <x:c r="J36" s="77"/>
      <x:c r="K36" s="77"/>
      <x:c r="L36" s="77"/>
      <x:c r="M36" s="77"/>
      <x:c r="N36" s="77"/>
    </x:row>
    <x:row r="37" ht="34" customHeight="1">
      <x:c r="A37" s="75" t="str">
        <x:v>5</x:v>
      </x:c>
      <x:c r="B37" s="76" t="str">
        <x:v>Do not treat preliminary fit as a vendor commitment; validate against the licensed release and authorized environment.</x:v>
      </x:c>
      <x:c r="C37" s="76" t="str"/>
      <x:c r="D37" s="76" t="str"/>
      <x:c r="E37" s="76" t="str"/>
      <x:c r="F37" s="77"/>
      <x:c r="G37" s="77"/>
      <x:c r="H37" s="77"/>
      <x:c r="I37" s="77"/>
      <x:c r="J37" s="77"/>
      <x:c r="K37" s="77"/>
      <x:c r="L37" s="77"/>
      <x:c r="M37" s="77"/>
      <x:c r="N37" s="77"/>
    </x:row>
    <x:row r="38" ht="34" customHeight="1">
      <x:c r="A38" s="75" t="str">
        <x:v>6</x:v>
      </x:c>
      <x:c r="B38" s="76" t="str">
        <x:v>Use the Scoring &amp; Lifecycle sheet to calibrate the operating process and the Risks &amp; Decisions sheet to close design choices.</x:v>
      </x:c>
      <x:c r="C38" s="76" t="str"/>
      <x:c r="D38" s="76" t="str"/>
      <x:c r="E38" s="76" t="str"/>
      <x:c r="F38" s="77"/>
      <x:c r="G38" s="77"/>
      <x:c r="H38" s="77"/>
      <x:c r="I38" s="77"/>
      <x:c r="J38" s="77"/>
      <x:c r="K38" s="77"/>
      <x:c r="L38" s="77"/>
      <x:c r="M38" s="77"/>
      <x:c r="N38" s="77"/>
    </x:row>
    <x:row r="39" ht="34" customHeight="1">
      <x:c r="A39" s="75" t="str">
        <x:v>7</x:v>
      </x:c>
      <x:c r="B39" s="76" t="str">
        <x:v>The Word specification is the readable baseline; this workbook is the working traceability and control artifact.</x:v>
      </x:c>
      <x:c r="C39" s="76" t="str"/>
      <x:c r="D39" s="76" t="str"/>
      <x:c r="E39" s="76" t="str"/>
      <x:c r="F39" s="77"/>
      <x:c r="G39" s="77"/>
      <x:c r="H39" s="77"/>
      <x:c r="I39" s="77"/>
      <x:c r="J39" s="77"/>
      <x:c r="K39" s="77"/>
      <x:c r="L39" s="77"/>
      <x:c r="M39" s="77"/>
      <x:c r="N39" s="77"/>
    </x:row>
  </x:sheetData>
  <x:mergeCells>
    <x:mergeCell ref="A1:N1"/>
    <x:mergeCell ref="A2:N2"/>
    <x:mergeCell ref="A4:N4"/>
    <x:mergeCell ref="A11:E11"/>
    <x:mergeCell ref="A32:E32"/>
    <x:mergeCell ref="B33:E33"/>
    <x:mergeCell ref="B34:E34"/>
    <x:mergeCell ref="B35:E35"/>
    <x:mergeCell ref="B36:E36"/>
    <x:mergeCell ref="B37:E37"/>
    <x:mergeCell ref="B38:E38"/>
    <x:mergeCell ref="B39:E39"/>
  </x:mergeCells>
  <x:conditionalFormatting sqref="A13:D30">
    <x:cfRule type="expression" dxfId="0" priority="1">
      <x:formula>MOD(ROW(),2)=0</x:formula>
    </x:cfRule>
  </x:conditionalFormatting>
  <x:pageMargins left="0.7" right="0.7" top="0.75" bottom="0.75" header="0.3" footer="0.3"/>
  <x:drawing xmlns:r="http://schemas.openxmlformats.org/officeDocument/2006/relationships" r:id="Rc6d77aa730c24567"/>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5" hidden="0" customWidth="1"/>
    <x:col min="4" max="4" width="64" hidden="0" customWidth="1"/>
    <x:col min="5" max="5" width="10" hidden="0" customWidth="1"/>
    <x:col min="6" max="6" width="8" hidden="0" customWidth="1"/>
    <x:col min="7" max="7" width="16" hidden="0" customWidth="1"/>
    <x:col min="8" max="8" width="24" hidden="0" customWidth="1"/>
    <x:col min="9" max="9" width="20" hidden="0" customWidth="1"/>
    <x:col min="10" max="10" width="15" hidden="0" customWidth="1"/>
    <x:col min="11" max="11" width="12" hidden="0" customWidth="1"/>
    <x:col min="12" max="12" width="28" hidden="0" customWidth="1"/>
    <x:col min="13" max="13" width="30" hidden="0" customWidth="1"/>
    <x:col min="14" max="14" width="18" hidden="0" customWidth="1"/>
    <x:col min="15" max="15" width="16" hidden="0" customWidth="1"/>
    <x:col min="16" max="16" width="14" hidden="0" customWidth="1"/>
    <x:col min="17" max="17" width="12" hidden="0" customWidth="1"/>
    <x:col min="18" max="18" width="24" hidden="0" customWidth="1"/>
    <x:col min="19" max="19" width="24" hidden="0" customWidth="1"/>
    <x:col min="20" max="20" width="30" hidden="0" customWidth="1"/>
  </x:cols>
  <x:sheetData>
    <x:row r="1" ht="34" customHeight="1">
      <x:c r="A1" s="43" t="str">
        <x:v>Requirements Traceability Matrix</x:v>
      </x:c>
      <x:c r="B1" s="43" t="str">
        <x:v>Requirements Traceability Matrix</x:v>
      </x:c>
      <x:c r="C1" s="43" t="str">
        <x:v>Requirements Traceability Matrix</x:v>
      </x:c>
      <x:c r="D1" s="43" t="str">
        <x:v>Requirements Traceability Matrix</x:v>
      </x:c>
      <x:c r="E1" s="43" t="str">
        <x:v>Requirements Traceability Matrix</x:v>
      </x:c>
      <x:c r="F1" s="43" t="str">
        <x:v>Requirements Traceability Matrix</x:v>
      </x:c>
      <x:c r="G1" s="43" t="str">
        <x:v>Requirements Traceability Matrix</x:v>
      </x:c>
      <x:c r="H1" s="43" t="str">
        <x:v>Requirements Traceability Matrix</x:v>
      </x:c>
      <x:c r="I1" s="43" t="str">
        <x:v>Requirements Traceability Matrix</x:v>
      </x:c>
      <x:c r="J1" s="43" t="str">
        <x:v>Requirements Traceability Matrix</x:v>
      </x:c>
      <x:c r="K1" s="43" t="str">
        <x:v>Requirements Traceability Matrix</x:v>
      </x:c>
      <x:c r="L1" s="43" t="str">
        <x:v>Requirements Traceability Matrix</x:v>
      </x:c>
      <x:c r="M1" s="43" t="str">
        <x:v>Requirements Traceability Matrix</x:v>
      </x:c>
      <x:c r="N1" s="43" t="str">
        <x:v>Requirements Traceability Matrix</x:v>
      </x:c>
      <x:c r="O1" s="43" t="str">
        <x:v>Requirements Traceability Matrix</x:v>
      </x:c>
      <x:c r="P1" s="43" t="str">
        <x:v>Requirements Traceability Matrix</x:v>
      </x:c>
      <x:c r="Q1" s="43" t="str">
        <x:v>Requirements Traceability Matrix</x:v>
      </x:c>
      <x:c r="R1" s="43" t="str">
        <x:v>Requirements Traceability Matrix</x:v>
      </x:c>
      <x:c r="S1" s="43" t="str">
        <x:v>Requirements Traceability Matrix</x:v>
      </x:c>
      <x:c r="T1" s="43" t="str">
        <x:v>Requirements Traceability Matrix</x:v>
      </x:c>
    </x:row>
    <x:row r="2" ht="28" customHeight="1">
      <x:c r="A2" s="66" t="str">
        <x:v>Editable fields are provided for validation, design, testing, implementation, and fit-gap control. Filter by Domain, Priority, Phase, Fit, Owner, or Status.</x:v>
      </x:c>
      <x:c r="B2" s="66" t="str">
        <x:v>Editable fields are provided for validation, design, testing, implementation, and fit-gap control. Filter by Domain, Priority, Phase, Fit, Owner, or Status.</x:v>
      </x:c>
      <x:c r="C2" s="66" t="str">
        <x:v>Editable fields are provided for validation, design, testing, implementation, and fit-gap control. Filter by Domain, Priority, Phase, Fit, Owner, or Status.</x:v>
      </x:c>
      <x:c r="D2" s="66" t="str">
        <x:v>Editable fields are provided for validation, design, testing, implementation, and fit-gap control. Filter by Domain, Priority, Phase, Fit, Owner, or Status.</x:v>
      </x:c>
      <x:c r="E2" s="66" t="str">
        <x:v>Editable fields are provided for validation, design, testing, implementation, and fit-gap control. Filter by Domain, Priority, Phase, Fit, Owner, or Status.</x:v>
      </x:c>
      <x:c r="F2" s="66" t="str">
        <x:v>Editable fields are provided for validation, design, testing, implementation, and fit-gap control. Filter by Domain, Priority, Phase, Fit, Owner, or Status.</x:v>
      </x:c>
      <x:c r="G2" s="66" t="str">
        <x:v>Editable fields are provided for validation, design, testing, implementation, and fit-gap control. Filter by Domain, Priority, Phase, Fit, Owner, or Status.</x:v>
      </x:c>
      <x:c r="H2" s="66" t="str">
        <x:v>Editable fields are provided for validation, design, testing, implementation, and fit-gap control. Filter by Domain, Priority, Phase, Fit, Owner, or Status.</x:v>
      </x:c>
      <x:c r="I2" s="66" t="str">
        <x:v>Editable fields are provided for validation, design, testing, implementation, and fit-gap control. Filter by Domain, Priority, Phase, Fit, Owner, or Status.</x:v>
      </x:c>
      <x:c r="J2" s="66" t="str">
        <x:v>Editable fields are provided for validation, design, testing, implementation, and fit-gap control. Filter by Domain, Priority, Phase, Fit, Owner, or Status.</x:v>
      </x:c>
      <x:c r="K2" s="66" t="str">
        <x:v>Editable fields are provided for validation, design, testing, implementation, and fit-gap control. Filter by Domain, Priority, Phase, Fit, Owner, or Status.</x:v>
      </x:c>
      <x:c r="L2" s="66" t="str">
        <x:v>Editable fields are provided for validation, design, testing, implementation, and fit-gap control. Filter by Domain, Priority, Phase, Fit, Owner, or Status.</x:v>
      </x:c>
      <x:c r="M2" s="66" t="str">
        <x:v>Editable fields are provided for validation, design, testing, implementation, and fit-gap control. Filter by Domain, Priority, Phase, Fit, Owner, or Status.</x:v>
      </x:c>
      <x:c r="N2" s="66" t="str">
        <x:v>Editable fields are provided for validation, design, testing, implementation, and fit-gap control. Filter by Domain, Priority, Phase, Fit, Owner, or Status.</x:v>
      </x:c>
      <x:c r="O2" s="66" t="str">
        <x:v>Editable fields are provided for validation, design, testing, implementation, and fit-gap control. Filter by Domain, Priority, Phase, Fit, Owner, or Status.</x:v>
      </x:c>
      <x:c r="P2" s="66" t="str">
        <x:v>Editable fields are provided for validation, design, testing, implementation, and fit-gap control. Filter by Domain, Priority, Phase, Fit, Owner, or Status.</x:v>
      </x:c>
      <x:c r="Q2" s="66" t="str">
        <x:v>Editable fields are provided for validation, design, testing, implementation, and fit-gap control. Filter by Domain, Priority, Phase, Fit, Owner, or Status.</x:v>
      </x:c>
      <x:c r="R2" s="66" t="str">
        <x:v>Editable fields are provided for validation, design, testing, implementation, and fit-gap control. Filter by Domain, Priority, Phase, Fit, Owner, or Status.</x:v>
      </x:c>
      <x:c r="S2" s="66" t="str">
        <x:v>Editable fields are provided for validation, design, testing, implementation, and fit-gap control. Filter by Domain, Priority, Phase, Fit, Owner, or Status.</x:v>
      </x:c>
      <x:c r="T2" s="66" t="str">
        <x:v>Editable fields are provided for validation, design, testing, implementation, and fit-gap control. Filter by Domain, Priority, Phase, Fit, Owner, or Status.</x:v>
      </x:c>
    </x:row>
    <x:row r="3">
      <x:c r="A3" s="77"/>
      <x:c r="B3" s="77"/>
      <x:c r="C3" s="77"/>
      <x:c r="D3" s="77"/>
      <x:c r="E3" s="77"/>
      <x:c r="F3" s="77"/>
      <x:c r="G3" s="77"/>
      <x:c r="H3" s="77"/>
      <x:c r="I3" s="77"/>
      <x:c r="J3" s="77"/>
      <x:c r="K3" s="77"/>
      <x:c r="L3" s="77"/>
      <x:c r="M3" s="77"/>
      <x:c r="N3" s="77"/>
      <x:c r="O3" s="77"/>
      <x:c r="P3" s="77"/>
      <x:c r="Q3" s="77"/>
      <x:c r="R3" s="77"/>
      <x:c r="S3" s="77"/>
      <x:c r="T3" s="77"/>
    </x:row>
    <x:row r="4" ht="28" customHeight="1">
      <x:c r="A4" s="86" t="str">
        <x:v>Legend: Must = baseline need | Likely OOTB = preliminary only | Configure = platform configuration | Extend = custom capability | Integrate = interface | Policy/Process = operating control</x:v>
      </x:c>
      <x:c r="B4" s="86" t="str">
        <x:v>Legend: Must = baseline need | Likely OOTB = preliminary only | Configure = platform configuration | Extend = custom capability | Integrate = interface | Policy/Process = operating control</x:v>
      </x:c>
      <x:c r="C4" s="86" t="str">
        <x:v>Legend: Must = baseline need | Likely OOTB = preliminary only | Configure = platform configuration | Extend = custom capability | Integrate = interface | Policy/Process = operating control</x:v>
      </x:c>
      <x:c r="D4" s="86" t="str">
        <x:v>Legend: Must = baseline need | Likely OOTB = preliminary only | Configure = platform configuration | Extend = custom capability | Integrate = interface | Policy/Process = operating control</x:v>
      </x:c>
      <x:c r="E4" s="86" t="str">
        <x:v>Legend: Must = baseline need | Likely OOTB = preliminary only | Configure = platform configuration | Extend = custom capability | Integrate = interface | Policy/Process = operating control</x:v>
      </x:c>
      <x:c r="F4" s="86" t="str">
        <x:v>Legend: Must = baseline need | Likely OOTB = preliminary only | Configure = platform configuration | Extend = custom capability | Integrate = interface | Policy/Process = operating control</x:v>
      </x:c>
      <x:c r="G4" s="86" t="str">
        <x:v>Legend: Must = baseline need | Likely OOTB = preliminary only | Configure = platform configuration | Extend = custom capability | Integrate = interface | Policy/Process = operating control</x:v>
      </x:c>
      <x:c r="H4" s="86" t="str">
        <x:v>Legend: Must = baseline need | Likely OOTB = preliminary only | Configure = platform configuration | Extend = custom capability | Integrate = interface | Policy/Process = operating control</x:v>
      </x:c>
      <x:c r="I4" s="86" t="str">
        <x:v>Legend: Must = baseline need | Likely OOTB = preliminary only | Configure = platform configuration | Extend = custom capability | Integrate = interface | Policy/Process = operating control</x:v>
      </x:c>
      <x:c r="J4" s="86" t="str">
        <x:v>Legend: Must = baseline need | Likely OOTB = preliminary only | Configure = platform configuration | Extend = custom capability | Integrate = interface | Policy/Process = operating control</x:v>
      </x:c>
      <x:c r="K4" s="86" t="str">
        <x:v>Legend: Must = baseline need | Likely OOTB = preliminary only | Configure = platform configuration | Extend = custom capability | Integrate = interface | Policy/Process = operating control</x:v>
      </x:c>
      <x:c r="L4" s="86" t="str">
        <x:v>Legend: Must = baseline need | Likely OOTB = preliminary only | Configure = platform configuration | Extend = custom capability | Integrate = interface | Policy/Process = operating control</x:v>
      </x:c>
      <x:c r="M4" s="86" t="str">
        <x:v>Legend: Must = baseline need | Likely OOTB = preliminary only | Configure = platform configuration | Extend = custom capability | Integrate = interface | Policy/Process = operating control</x:v>
      </x:c>
      <x:c r="N4" s="86" t="str">
        <x:v>Legend: Must = baseline need | Likely OOTB = preliminary only | Configure = platform configuration | Extend = custom capability | Integrate = interface | Policy/Process = operating control</x:v>
      </x:c>
      <x:c r="O4" s="86" t="str">
        <x:v>Legend: Must = baseline need | Likely OOTB = preliminary only | Configure = platform configuration | Extend = custom capability | Integrate = interface | Policy/Process = operating control</x:v>
      </x:c>
      <x:c r="P4" s="86" t="str">
        <x:v>Legend: Must = baseline need | Likely OOTB = preliminary only | Configure = platform configuration | Extend = custom capability | Integrate = interface | Policy/Process = operating control</x:v>
      </x:c>
      <x:c r="Q4" s="86" t="str">
        <x:v>Legend: Must = baseline need | Likely OOTB = preliminary only | Configure = platform configuration | Extend = custom capability | Integrate = interface | Policy/Process = operating control</x:v>
      </x:c>
      <x:c r="R4" s="86" t="str">
        <x:v>Legend: Must = baseline need | Likely OOTB = preliminary only | Configure = platform configuration | Extend = custom capability | Integrate = interface | Policy/Process = operating control</x:v>
      </x:c>
      <x:c r="S4" s="86" t="str">
        <x:v>Legend: Must = baseline need | Likely OOTB = preliminary only | Configure = platform configuration | Extend = custom capability | Integrate = interface | Policy/Process = operating control</x:v>
      </x:c>
      <x:c r="T4" s="86" t="str">
        <x:v>Legend: Must = baseline need | Likely OOTB = preliminary only | Configure = platform configuration | Extend = custom capability | Integrate = interface | Policy/Process = operating control</x:v>
      </x:c>
    </x:row>
    <x:row r="5">
      <x:c r="A5" s="77"/>
      <x:c r="B5" s="77"/>
      <x:c r="C5" s="77"/>
      <x:c r="D5" s="77"/>
      <x:c r="E5" s="77"/>
      <x:c r="F5" s="77"/>
      <x:c r="G5" s="77"/>
      <x:c r="H5" s="77"/>
      <x:c r="I5" s="77"/>
      <x:c r="J5" s="77"/>
      <x:c r="K5" s="77"/>
      <x:c r="L5" s="77"/>
      <x:c r="M5" s="77"/>
      <x:c r="N5" s="77"/>
      <x:c r="O5" s="77"/>
      <x:c r="P5" s="77"/>
      <x:c r="Q5" s="77"/>
      <x:c r="R5" s="77"/>
      <x:c r="S5" s="77"/>
      <x:c r="T5" s="77"/>
    </x:row>
    <x:row r="6" ht="30" customHeight="1">
      <x:c r="A6" s="82" t="str">
        <x:v>Requirement ID</x:v>
      </x:c>
      <x:c r="B6" s="82" t="str">
        <x:v>Domain</x:v>
      </x:c>
      <x:c r="C6" s="82" t="str">
        <x:v>Title</x:v>
      </x:c>
      <x:c r="D6" s="82" t="str">
        <x:v>Requirement</x:v>
      </x:c>
      <x:c r="E6" s="82" t="str">
        <x:v>Priority</x:v>
      </x:c>
      <x:c r="F6" s="82" t="str">
        <x:v>Phase</x:v>
      </x:c>
      <x:c r="G6" s="82" t="str">
        <x:v>Preliminary Fit</x:v>
      </x:c>
      <x:c r="H6" s="82" t="str">
        <x:v>Capability</x:v>
      </x:c>
      <x:c r="I6" s="82" t="str">
        <x:v>Accountable Owner</x:v>
      </x:c>
      <x:c r="J6" s="82" t="str">
        <x:v>Verification</x:v>
      </x:c>
      <x:c r="K6" s="82" t="str">
        <x:v>Status</x:v>
      </x:c>
      <x:c r="L6" s="82" t="str">
        <x:v>Rationale / Change Basis</x:v>
      </x:c>
      <x:c r="M6" s="82" t="str">
        <x:v>Acceptance Notes</x:v>
      </x:c>
      <x:c r="N6" s="82" t="str">
        <x:v>Design Reference</x:v>
      </x:c>
      <x:c r="O6" s="82" t="str">
        <x:v>Test Case</x:v>
      </x:c>
      <x:c r="P6" s="82" t="str">
        <x:v>UAT Result</x:v>
      </x:c>
      <x:c r="Q6" s="82" t="str">
        <x:v>Release</x:v>
      </x:c>
      <x:c r="R6" s="82" t="str">
        <x:v>ServiceNow Module / Feature</x:v>
      </x:c>
      <x:c r="S6" s="82" t="str">
        <x:v>ProjectOS Field / Interface</x:v>
      </x:c>
      <x:c r="T6" s="82" t="str">
        <x:v>Decision / Comments</x:v>
      </x:c>
    </x:row>
    <x:row r="7" ht="44" customHeight="1">
      <x:c r="A7" s="83" t="str">
        <x:v>GOV-001</x:v>
      </x:c>
      <x:c r="B7" s="84" t="str">
        <x:v>Strategy, Mission Alignment, and Governance</x:v>
      </x:c>
      <x:c r="C7" s="84" t="str">
        <x:v>Unified system of record</x:v>
      </x:c>
      <x:c r="D7" s="84" t="str">
        <x:v>The platform shall maintain a governed, authoritative system of record linking strategy, mission, core functions, demands, approved projects, resources, costs, risks, decisions, outcomes, and realized benefits across DDC5I.</x:v>
      </x:c>
      <x:c r="E7" s="85" t="str">
        <x:v>Must</x:v>
      </x:c>
      <x:c r="F7" s="85" t="str">
        <x:v>1</x:v>
      </x:c>
      <x:c r="G7" s="85" t="str">
        <x:v>Configure</x:v>
      </x:c>
      <x:c r="H7" s="84" t="str">
        <x:v>Strategy, Mission Alignment, and Governance</x:v>
      </x:c>
      <x:c r="I7" s="84" t="str">
        <x:v>DDC5I Portfolio Owner</x:v>
      </x:c>
      <x:c r="J7" s="85" t="str">
        <x:v>Demonstration</x:v>
      </x:c>
      <x:c r="K7" s="85" t="str">
        <x:v>Proposed</x:v>
      </x:c>
      <x:c r="L7" s="84" t="str"/>
      <x:c r="M7" s="84" t="str"/>
      <x:c r="N7" s="84" t="str"/>
      <x:c r="O7" s="84" t="str"/>
      <x:c r="P7" s="84" t="str"/>
      <x:c r="Q7" s="84" t="str"/>
      <x:c r="R7" s="84" t="str"/>
      <x:c r="S7" s="84" t="str"/>
      <x:c r="T7" s="84" t="str"/>
    </x:row>
    <x:row r="8" ht="44" customHeight="1">
      <x:c r="A8" s="83" t="str">
        <x:v>GOV-002</x:v>
      </x:c>
      <x:c r="B8" s="84" t="str">
        <x:v>Strategy, Mission Alignment, and Governance</x:v>
      </x:c>
      <x:c r="C8" s="84" t="str">
        <x:v>Strategy hierarchy</x:v>
      </x:c>
      <x:c r="D8" s="84" t="str">
        <x:v>The platform shall represent configurable strategic hierarchies including Joint Staff priorities, DDC5I priorities, directorate objectives, division objectives, mission outcomes, lines of effort, and measurable key results.</x:v>
      </x:c>
      <x:c r="E8" s="85" t="str">
        <x:v>Must</x:v>
      </x:c>
      <x:c r="F8" s="85" t="str">
        <x:v>1</x:v>
      </x:c>
      <x:c r="G8" s="85" t="str">
        <x:v>Configure</x:v>
      </x:c>
      <x:c r="H8" s="84" t="str">
        <x:v>Strategy, Mission Alignment, and Governance</x:v>
      </x:c>
      <x:c r="I8" s="84" t="str">
        <x:v>Strategy Lead</x:v>
      </x:c>
      <x:c r="J8" s="85" t="str">
        <x:v>Demonstration</x:v>
      </x:c>
      <x:c r="K8" s="85" t="str">
        <x:v>Proposed</x:v>
      </x:c>
      <x:c r="L8" s="84" t="str"/>
      <x:c r="M8" s="84" t="str"/>
      <x:c r="N8" s="84" t="str"/>
      <x:c r="O8" s="84" t="str"/>
      <x:c r="P8" s="84" t="str"/>
      <x:c r="Q8" s="84" t="str"/>
      <x:c r="R8" s="84" t="str"/>
      <x:c r="S8" s="84" t="str"/>
      <x:c r="T8" s="84" t="str"/>
    </x:row>
    <x:row r="9" ht="44" customHeight="1">
      <x:c r="A9" s="83" t="str">
        <x:v>GOV-003</x:v>
      </x:c>
      <x:c r="B9" s="84" t="str">
        <x:v>Strategy, Mission Alignment, and Governance</x:v>
      </x:c>
      <x:c r="C9" s="84" t="str">
        <x:v>Mission and function catalog</x:v>
      </x:c>
      <x:c r="D9" s="84" t="str">
        <x:v>The platform shall maintain a version-controlled catalog of DDC5I missions, statutory or directed functions, recurring core functions, products, services, customers, supported commands, and Joint or coalition effects.</x:v>
      </x:c>
      <x:c r="E9" s="85" t="str">
        <x:v>Must</x:v>
      </x:c>
      <x:c r="F9" s="85" t="str">
        <x:v>1</x:v>
      </x:c>
      <x:c r="G9" s="85" t="str">
        <x:v>Extend</x:v>
      </x:c>
      <x:c r="H9" s="84" t="str">
        <x:v>Strategy, Mission Alignment, and Governance</x:v>
      </x:c>
      <x:c r="I9" s="84" t="str">
        <x:v>DDC5I Portfolio Owner</x:v>
      </x:c>
      <x:c r="J9" s="85" t="str">
        <x:v>Demonstration</x:v>
      </x:c>
      <x:c r="K9" s="85" t="str">
        <x:v>Proposed</x:v>
      </x:c>
      <x:c r="L9" s="84" t="str"/>
      <x:c r="M9" s="84" t="str"/>
      <x:c r="N9" s="84" t="str"/>
      <x:c r="O9" s="84" t="str"/>
      <x:c r="P9" s="84" t="str"/>
      <x:c r="Q9" s="84" t="str"/>
      <x:c r="R9" s="84" t="str"/>
      <x:c r="S9" s="84" t="str"/>
      <x:c r="T9" s="84" t="str"/>
    </x:row>
    <x:row r="10" ht="44" customHeight="1">
      <x:c r="A10" s="83" t="str">
        <x:v>GOV-004</x:v>
      </x:c>
      <x:c r="B10" s="84" t="str">
        <x:v>Strategy, Mission Alignment, and Governance</x:v>
      </x:c>
      <x:c r="C10" s="84" t="str">
        <x:v>Bidirectional traceability</x:v>
      </x:c>
      <x:c r="D10" s="84" t="str">
        <x:v>Every demand, core function, investment, and project shall trace to at least one mission, objective, or approved mandate, and leaders shall be able to navigate from strategy to execution and from execution back to strategy.</x:v>
      </x:c>
      <x:c r="E10" s="85" t="str">
        <x:v>Must</x:v>
      </x:c>
      <x:c r="F10" s="85" t="str">
        <x:v>1</x:v>
      </x:c>
      <x:c r="G10" s="85" t="str">
        <x:v>Configure</x:v>
      </x:c>
      <x:c r="H10" s="84" t="str">
        <x:v>Strategy, Mission Alignment, and Governance</x:v>
      </x:c>
      <x:c r="I10" s="84" t="str">
        <x:v>Division Portfolio Manager</x:v>
      </x:c>
      <x:c r="J10" s="85" t="str">
        <x:v>Demonstration</x:v>
      </x:c>
      <x:c r="K10" s="85" t="str">
        <x:v>Proposed</x:v>
      </x:c>
      <x:c r="L10" s="84" t="str"/>
      <x:c r="M10" s="84" t="str"/>
      <x:c r="N10" s="84" t="str"/>
      <x:c r="O10" s="84" t="str"/>
      <x:c r="P10" s="84" t="str"/>
      <x:c r="Q10" s="84" t="str"/>
      <x:c r="R10" s="84" t="str"/>
      <x:c r="S10" s="84" t="str"/>
      <x:c r="T10" s="84" t="str"/>
    </x:row>
    <x:row r="11" ht="44" customHeight="1">
      <x:c r="A11" s="83" t="str">
        <x:v>GOV-005</x:v>
      </x:c>
      <x:c r="B11" s="84" t="str">
        <x:v>Strategy, Mission Alignment, and Governance</x:v>
      </x:c>
      <x:c r="C11" s="84" t="str">
        <x:v>Unaligned work control</x:v>
      </x:c>
      <x:c r="D11" s="84" t="str">
        <x:v>The platform shall identify work lacking mission alignment, record the justification or exception authority, and prevent approval unless the required waiver is documented.</x:v>
      </x:c>
      <x:c r="E11" s="85" t="str">
        <x:v>Must</x:v>
      </x:c>
      <x:c r="F11" s="85" t="str">
        <x:v>1</x:v>
      </x:c>
      <x:c r="G11" s="85" t="str">
        <x:v>Configure</x:v>
      </x:c>
      <x:c r="H11" s="84" t="str">
        <x:v>Strategy, Mission Alignment, and Governance</x:v>
      </x:c>
      <x:c r="I11" s="84" t="str">
        <x:v>Portfolio Governance Board</x:v>
      </x:c>
      <x:c r="J11" s="85" t="str">
        <x:v>Workflow test</x:v>
      </x:c>
      <x:c r="K11" s="85" t="str">
        <x:v>Proposed</x:v>
      </x:c>
      <x:c r="L11" s="84" t="str"/>
      <x:c r="M11" s="84" t="str"/>
      <x:c r="N11" s="84" t="str"/>
      <x:c r="O11" s="84" t="str"/>
      <x:c r="P11" s="84" t="str"/>
      <x:c r="Q11" s="84" t="str"/>
      <x:c r="R11" s="84" t="str"/>
      <x:c r="S11" s="84" t="str"/>
      <x:c r="T11" s="84" t="str"/>
    </x:row>
    <x:row r="12" ht="44" customHeight="1">
      <x:c r="A12" s="83" t="str">
        <x:v>GOV-006</x:v>
      </x:c>
      <x:c r="B12" s="84" t="str">
        <x:v>Strategy, Mission Alignment, and Governance</x:v>
      </x:c>
      <x:c r="C12" s="84" t="str">
        <x:v>Governance calendar</x:v>
      </x:c>
      <x:c r="D12" s="84" t="str">
        <x:v>The platform shall schedule and track recurring portfolio governance events, submission cutoffs, decision forums, budget drills, quarterly reviews, and annual planning cycles.</x:v>
      </x:c>
      <x:c r="E12" s="85" t="str">
        <x:v>Must</x:v>
      </x:c>
      <x:c r="F12" s="85" t="str">
        <x:v>1</x:v>
      </x:c>
      <x:c r="G12" s="85" t="str">
        <x:v>Configure</x:v>
      </x:c>
      <x:c r="H12" s="84" t="str">
        <x:v>Strategy, Mission Alignment, and Governance</x:v>
      </x:c>
      <x:c r="I12" s="84" t="str">
        <x:v>Portfolio Management Office</x:v>
      </x:c>
      <x:c r="J12" s="85" t="str">
        <x:v>Demonstration</x:v>
      </x:c>
      <x:c r="K12" s="85" t="str">
        <x:v>Proposed</x:v>
      </x:c>
      <x:c r="L12" s="84" t="str"/>
      <x:c r="M12" s="84" t="str"/>
      <x:c r="N12" s="84" t="str"/>
      <x:c r="O12" s="84" t="str"/>
      <x:c r="P12" s="84" t="str"/>
      <x:c r="Q12" s="84" t="str"/>
      <x:c r="R12" s="84" t="str"/>
      <x:c r="S12" s="84" t="str"/>
      <x:c r="T12" s="84" t="str"/>
    </x:row>
    <x:row r="13" ht="44" customHeight="1">
      <x:c r="A13" s="83" t="str">
        <x:v>GOV-007</x:v>
      </x:c>
      <x:c r="B13" s="84" t="str">
        <x:v>Strategy, Mission Alignment, and Governance</x:v>
      </x:c>
      <x:c r="C13" s="84" t="str">
        <x:v>Decision rights</x:v>
      </x:c>
      <x:c r="D13" s="84" t="str">
        <x:v>The platform shall encode configurable decision authorities, thresholds, quorum rules, delegation, and escalation paths by demand type, value, risk, division, and funding level.</x:v>
      </x:c>
      <x:c r="E13" s="85" t="str">
        <x:v>Must</x:v>
      </x:c>
      <x:c r="F13" s="85" t="str">
        <x:v>1</x:v>
      </x:c>
      <x:c r="G13" s="85" t="str">
        <x:v>Configure</x:v>
      </x:c>
      <x:c r="H13" s="84" t="str">
        <x:v>Strategy, Mission Alignment, and Governance</x:v>
      </x:c>
      <x:c r="I13" s="84" t="str">
        <x:v>Portfolio Governance Board</x:v>
      </x:c>
      <x:c r="J13" s="85" t="str">
        <x:v>Demonstration</x:v>
      </x:c>
      <x:c r="K13" s="85" t="str">
        <x:v>Proposed</x:v>
      </x:c>
      <x:c r="L13" s="84" t="str"/>
      <x:c r="M13" s="84" t="str"/>
      <x:c r="N13" s="84" t="str"/>
      <x:c r="O13" s="84" t="str"/>
      <x:c r="P13" s="84" t="str"/>
      <x:c r="Q13" s="84" t="str"/>
      <x:c r="R13" s="84" t="str"/>
      <x:c r="S13" s="84" t="str"/>
      <x:c r="T13" s="84" t="str"/>
    </x:row>
    <x:row r="14" ht="44" customHeight="1">
      <x:c r="A14" s="83" t="str">
        <x:v>GOV-008</x:v>
      </x:c>
      <x:c r="B14" s="84" t="str">
        <x:v>Strategy, Mission Alignment, and Governance</x:v>
      </x:c>
      <x:c r="C14" s="84" t="str">
        <x:v>Decision record</x:v>
      </x:c>
      <x:c r="D14" s="84" t="str">
        <x:v>Each governance decision shall capture the decision, date, authority, participants, rationale, conditions, dissent or caveats, affected items, and required follow-up actions.</x:v>
      </x:c>
      <x:c r="E14" s="85" t="str">
        <x:v>Must</x:v>
      </x:c>
      <x:c r="F14" s="85" t="str">
        <x:v>1</x:v>
      </x:c>
      <x:c r="G14" s="85" t="str">
        <x:v>Configure</x:v>
      </x:c>
      <x:c r="H14" s="84" t="str">
        <x:v>Strategy, Mission Alignment, and Governance</x:v>
      </x:c>
      <x:c r="I14" s="84" t="str">
        <x:v>Portfolio Governance Board</x:v>
      </x:c>
      <x:c r="J14" s="85" t="str">
        <x:v>Demonstration</x:v>
      </x:c>
      <x:c r="K14" s="85" t="str">
        <x:v>Proposed</x:v>
      </x:c>
      <x:c r="L14" s="84" t="str"/>
      <x:c r="M14" s="84" t="str"/>
      <x:c r="N14" s="84" t="str"/>
      <x:c r="O14" s="84" t="str"/>
      <x:c r="P14" s="84" t="str"/>
      <x:c r="Q14" s="84" t="str"/>
      <x:c r="R14" s="84" t="str"/>
      <x:c r="S14" s="84" t="str"/>
      <x:c r="T14" s="84" t="str"/>
    </x:row>
    <x:row r="15" ht="44" customHeight="1">
      <x:c r="A15" s="83" t="str">
        <x:v>GOV-009</x:v>
      </x:c>
      <x:c r="B15" s="84" t="str">
        <x:v>Strategy, Mission Alignment, and Governance</x:v>
      </x:c>
      <x:c r="C15" s="84" t="str">
        <x:v>Portfolio policies</x:v>
      </x:c>
      <x:c r="D15" s="84" t="str">
        <x:v>Administrators shall manage versioned business rules for intake, scoring, stage gates, status reporting, resource assignment, financial control, change approval, and closure.</x:v>
      </x:c>
      <x:c r="E15" s="85" t="str">
        <x:v>Must</x:v>
      </x:c>
      <x:c r="F15" s="85" t="str">
        <x:v>1</x:v>
      </x:c>
      <x:c r="G15" s="85" t="str">
        <x:v>Configure</x:v>
      </x:c>
      <x:c r="H15" s="84" t="str">
        <x:v>Strategy, Mission Alignment, and Governance</x:v>
      </x:c>
      <x:c r="I15" s="84" t="str">
        <x:v>System Administrator</x:v>
      </x:c>
      <x:c r="J15" s="85" t="str">
        <x:v>Demonstration</x:v>
      </x:c>
      <x:c r="K15" s="85" t="str">
        <x:v>Proposed</x:v>
      </x:c>
      <x:c r="L15" s="84" t="str"/>
      <x:c r="M15" s="84" t="str"/>
      <x:c r="N15" s="84" t="str"/>
      <x:c r="O15" s="84" t="str"/>
      <x:c r="P15" s="84" t="str"/>
      <x:c r="Q15" s="84" t="str"/>
      <x:c r="R15" s="84" t="str"/>
      <x:c r="S15" s="84" t="str"/>
      <x:c r="T15" s="84" t="str"/>
    </x:row>
    <x:row r="16" ht="44" customHeight="1">
      <x:c r="A16" s="83" t="str">
        <x:v>GOV-010</x:v>
      </x:c>
      <x:c r="B16" s="84" t="str">
        <x:v>Strategy, Mission Alignment, and Governance</x:v>
      </x:c>
      <x:c r="C16" s="84" t="str">
        <x:v>Planning horizons</x:v>
      </x:c>
      <x:c r="D16" s="84" t="str">
        <x:v>The platform shall support current execution, budget year, POM or multi-year planning, and user-defined planning horizons without losing historical baselines.</x:v>
      </x:c>
      <x:c r="E16" s="85" t="str">
        <x:v>Must</x:v>
      </x:c>
      <x:c r="F16" s="85" t="str">
        <x:v>3</x:v>
      </x:c>
      <x:c r="G16" s="85" t="str">
        <x:v>Configure</x:v>
      </x:c>
      <x:c r="H16" s="84" t="str">
        <x:v>Strategy, Mission Alignment, and Governance</x:v>
      </x:c>
      <x:c r="I16" s="84" t="str">
        <x:v>Financial Manager</x:v>
      </x:c>
      <x:c r="J16" s="85" t="str">
        <x:v>Demonstration</x:v>
      </x:c>
      <x:c r="K16" s="85" t="str">
        <x:v>Proposed</x:v>
      </x:c>
      <x:c r="L16" s="84" t="str"/>
      <x:c r="M16" s="84" t="str"/>
      <x:c r="N16" s="84" t="str"/>
      <x:c r="O16" s="84" t="str"/>
      <x:c r="P16" s="84" t="str"/>
      <x:c r="Q16" s="84" t="str"/>
      <x:c r="R16" s="84" t="str"/>
      <x:c r="S16" s="84" t="str"/>
      <x:c r="T16" s="84" t="str"/>
    </x:row>
    <x:row r="17" ht="44" customHeight="1">
      <x:c r="A17" s="83" t="str">
        <x:v>GOV-011</x:v>
      </x:c>
      <x:c r="B17" s="84" t="str">
        <x:v>Strategy, Mission Alignment, and Governance</x:v>
      </x:c>
      <x:c r="C17" s="84" t="str">
        <x:v>Enterprise and division roll-up</x:v>
      </x:c>
      <x:c r="D17" s="84" t="str">
        <x:v>The platform shall aggregate data from JAD, DSD, AID, CID, JFID, and C3OD2 into a DDC5I enterprise portfolio while preserving division ownership and visibility boundaries.</x:v>
      </x:c>
      <x:c r="E17" s="85" t="str">
        <x:v>Must</x:v>
      </x:c>
      <x:c r="F17" s="85" t="str">
        <x:v>1</x:v>
      </x:c>
      <x:c r="G17" s="85" t="str">
        <x:v>Configure</x:v>
      </x:c>
      <x:c r="H17" s="84" t="str">
        <x:v>Strategy, Mission Alignment, and Governance</x:v>
      </x:c>
      <x:c r="I17" s="84" t="str">
        <x:v>DDC5I Portfolio Owner</x:v>
      </x:c>
      <x:c r="J17" s="85" t="str">
        <x:v>Demonstration</x:v>
      </x:c>
      <x:c r="K17" s="85" t="str">
        <x:v>Proposed</x:v>
      </x:c>
      <x:c r="L17" s="84" t="str"/>
      <x:c r="M17" s="84" t="str"/>
      <x:c r="N17" s="84" t="str"/>
      <x:c r="O17" s="84" t="str"/>
      <x:c r="P17" s="84" t="str"/>
      <x:c r="Q17" s="84" t="str"/>
      <x:c r="R17" s="84" t="str"/>
      <x:c r="S17" s="84" t="str"/>
      <x:c r="T17" s="84" t="str"/>
    </x:row>
    <x:row r="18" ht="44" customHeight="1">
      <x:c r="A18" s="83" t="str">
        <x:v>GOV-012</x:v>
      </x:c>
      <x:c r="B18" s="84" t="str">
        <x:v>Strategy, Mission Alignment, and Governance</x:v>
      </x:c>
      <x:c r="C18" s="84" t="str">
        <x:v>Portfolio taxonomy</x:v>
      </x:c>
      <x:c r="D18" s="84" t="str">
        <x:v>The platform shall apply a common configurable taxonomy for demand type, mission area, capability, customer, priority, lifecycle stage, project health, resource type, skill, cost category, and benefit type.</x:v>
      </x:c>
      <x:c r="E18" s="85" t="str">
        <x:v>Must</x:v>
      </x:c>
      <x:c r="F18" s="85" t="str">
        <x:v>1</x:v>
      </x:c>
      <x:c r="G18" s="85" t="str">
        <x:v>Configure</x:v>
      </x:c>
      <x:c r="H18" s="84" t="str">
        <x:v>Strategy, Mission Alignment, and Governance</x:v>
      </x:c>
      <x:c r="I18" s="84" t="str">
        <x:v>Data Steward</x:v>
      </x:c>
      <x:c r="J18" s="85" t="str">
        <x:v>Demonstration</x:v>
      </x:c>
      <x:c r="K18" s="85" t="str">
        <x:v>Proposed</x:v>
      </x:c>
      <x:c r="L18" s="84" t="str"/>
      <x:c r="M18" s="84" t="str"/>
      <x:c r="N18" s="84" t="str"/>
      <x:c r="O18" s="84" t="str"/>
      <x:c r="P18" s="84" t="str"/>
      <x:c r="Q18" s="84" t="str"/>
      <x:c r="R18" s="84" t="str"/>
      <x:c r="S18" s="84" t="str"/>
      <x:c r="T18" s="84" t="str"/>
    </x:row>
    <x:row r="19" ht="44" customHeight="1">
      <x:c r="A19" s="83" t="str">
        <x:v>GOV-013</x:v>
      </x:c>
      <x:c r="B19" s="84" t="str">
        <x:v>Strategy, Mission Alignment, and Governance</x:v>
      </x:c>
      <x:c r="C19" s="84" t="str">
        <x:v>Operating model flexibility</x:v>
      </x:c>
      <x:c r="D19" s="84" t="str">
        <x:v>The platform shall support waterfall, agile, hybrid, recurring operations, level-of-effort work, rapid-response taskers, and non-project core functions within one portfolio model.</x:v>
      </x:c>
      <x:c r="E19" s="85" t="str">
        <x:v>Must</x:v>
      </x:c>
      <x:c r="F19" s="85" t="str">
        <x:v>1</x:v>
      </x:c>
      <x:c r="G19" s="85" t="str">
        <x:v>Configure</x:v>
      </x:c>
      <x:c r="H19" s="84" t="str">
        <x:v>Strategy, Mission Alignment, and Governance</x:v>
      </x:c>
      <x:c r="I19" s="84" t="str">
        <x:v>Product Owner</x:v>
      </x:c>
      <x:c r="J19" s="85" t="str">
        <x:v>Demonstration</x:v>
      </x:c>
      <x:c r="K19" s="85" t="str">
        <x:v>Proposed</x:v>
      </x:c>
      <x:c r="L19" s="84" t="str"/>
      <x:c r="M19" s="84" t="str"/>
      <x:c r="N19" s="84" t="str"/>
      <x:c r="O19" s="84" t="str"/>
      <x:c r="P19" s="84" t="str"/>
      <x:c r="Q19" s="84" t="str"/>
      <x:c r="R19" s="84" t="str"/>
      <x:c r="S19" s="84" t="str"/>
      <x:c r="T19" s="84" t="str"/>
    </x:row>
    <x:row r="20" ht="44" customHeight="1">
      <x:c r="A20" s="83" t="str">
        <x:v>GOV-014</x:v>
      </x:c>
      <x:c r="B20" s="84" t="str">
        <x:v>Strategy, Mission Alignment, and Governance</x:v>
      </x:c>
      <x:c r="C20" s="84" t="str">
        <x:v>Governance evidence</x:v>
      </x:c>
      <x:c r="D20" s="84" t="str">
        <x:v>The platform shall retain the evidence package used for each approval or prioritization decision, including attachments, scores, comments, resource estimates, and financial assumptions.</x:v>
      </x:c>
      <x:c r="E20" s="85" t="str">
        <x:v>Must</x:v>
      </x:c>
      <x:c r="F20" s="85" t="str">
        <x:v>1</x:v>
      </x:c>
      <x:c r="G20" s="85" t="str">
        <x:v>Configure</x:v>
      </x:c>
      <x:c r="H20" s="84" t="str">
        <x:v>Strategy, Mission Alignment, and Governance</x:v>
      </x:c>
      <x:c r="I20" s="84" t="str">
        <x:v>Records Manager</x:v>
      </x:c>
      <x:c r="J20" s="85" t="str">
        <x:v>Demonstration</x:v>
      </x:c>
      <x:c r="K20" s="85" t="str">
        <x:v>Proposed</x:v>
      </x:c>
      <x:c r="L20" s="84" t="str"/>
      <x:c r="M20" s="84" t="str"/>
      <x:c r="N20" s="84" t="str"/>
      <x:c r="O20" s="84" t="str"/>
      <x:c r="P20" s="84" t="str"/>
      <x:c r="Q20" s="84" t="str"/>
      <x:c r="R20" s="84" t="str"/>
      <x:c r="S20" s="84" t="str"/>
      <x:c r="T20" s="84" t="str"/>
    </x:row>
    <x:row r="21" ht="44" customHeight="1">
      <x:c r="A21" s="83" t="str">
        <x:v>GOV-015</x:v>
      </x:c>
      <x:c r="B21" s="84" t="str">
        <x:v>Strategy, Mission Alignment, and Governance</x:v>
      </x:c>
      <x:c r="C21" s="84" t="str">
        <x:v>Outcome accountability</x:v>
      </x:c>
      <x:c r="D21" s="84" t="str">
        <x:v>Approved investments shall identify an accountable outcome owner, expected end state, measurable benefits, review dates, and the decision that will be informed by benefit results.</x:v>
      </x:c>
      <x:c r="E21" s="85" t="str">
        <x:v>Must</x:v>
      </x:c>
      <x:c r="F21" s="85" t="str">
        <x:v>2</x:v>
      </x:c>
      <x:c r="G21" s="85" t="str">
        <x:v>Configure</x:v>
      </x:c>
      <x:c r="H21" s="84" t="str">
        <x:v>Strategy, Mission Alignment, and Governance</x:v>
      </x:c>
      <x:c r="I21" s="84" t="str">
        <x:v>Benefits Owner</x:v>
      </x:c>
      <x:c r="J21" s="85" t="str">
        <x:v>Demonstration</x:v>
      </x:c>
      <x:c r="K21" s="85" t="str">
        <x:v>Proposed</x:v>
      </x:c>
      <x:c r="L21" s="84" t="str"/>
      <x:c r="M21" s="84" t="str"/>
      <x:c r="N21" s="84" t="str"/>
      <x:c r="O21" s="84" t="str"/>
      <x:c r="P21" s="84" t="str"/>
      <x:c r="Q21" s="84" t="str"/>
      <x:c r="R21" s="84" t="str"/>
      <x:c r="S21" s="84" t="str"/>
      <x:c r="T21" s="84" t="str"/>
    </x:row>
    <x:row r="22" ht="44" customHeight="1">
      <x:c r="A22" s="83" t="str">
        <x:v>ORG-001</x:v>
      </x:c>
      <x:c r="B22" s="84" t="str">
        <x:v>Organization, Roles, and Stakeholders</x:v>
      </x:c>
      <x:c r="C22" s="84" t="str">
        <x:v>Organization hierarchy</x:v>
      </x:c>
      <x:c r="D22" s="84" t="str">
        <x:v>The platform shall represent DDC5I, its six division portfolios, subordinate branches or teams, matrixed project teams, external organizations, and configurable future organizational changes.</x:v>
      </x:c>
      <x:c r="E22" s="85" t="str">
        <x:v>Must</x:v>
      </x:c>
      <x:c r="F22" s="85" t="str">
        <x:v>1</x:v>
      </x:c>
      <x:c r="G22" s="85" t="str">
        <x:v>Configure</x:v>
      </x:c>
      <x:c r="H22" s="84" t="str">
        <x:v>Organization, Roles, and Stakeholders</x:v>
      </x:c>
      <x:c r="I22" s="84" t="str">
        <x:v>Workforce Manager</x:v>
      </x:c>
      <x:c r="J22" s="85" t="str">
        <x:v>Demonstration</x:v>
      </x:c>
      <x:c r="K22" s="85" t="str">
        <x:v>Proposed</x:v>
      </x:c>
      <x:c r="L22" s="84" t="str"/>
      <x:c r="M22" s="84" t="str"/>
      <x:c r="N22" s="84" t="str"/>
      <x:c r="O22" s="84" t="str"/>
      <x:c r="P22" s="84" t="str"/>
      <x:c r="Q22" s="84" t="str"/>
      <x:c r="R22" s="84" t="str"/>
      <x:c r="S22" s="84" t="str"/>
      <x:c r="T22" s="84" t="str"/>
    </x:row>
    <x:row r="23" ht="44" customHeight="1">
      <x:c r="A23" s="83" t="str">
        <x:v>ORG-002</x:v>
      </x:c>
      <x:c r="B23" s="84" t="str">
        <x:v>Organization, Roles, and Stakeholders</x:v>
      </x:c>
      <x:c r="C23" s="84" t="str">
        <x:v>Role-based workspaces</x:v>
      </x:c>
      <x:c r="D23" s="84" t="str">
        <x:v>The platform shall provide tailored workspaces for senior leaders, division chiefs, branch chiefs, portfolio managers, demand managers, project managers, resource managers, financial managers, team members, approvers, data stewards, auditors, and administrators.</x:v>
      </x:c>
      <x:c r="E23" s="85" t="str">
        <x:v>Must</x:v>
      </x:c>
      <x:c r="F23" s="85" t="str">
        <x:v>1</x:v>
      </x:c>
      <x:c r="G23" s="85" t="str">
        <x:v>Configure</x:v>
      </x:c>
      <x:c r="H23" s="84" t="str">
        <x:v>Organization, Roles, and Stakeholders</x:v>
      </x:c>
      <x:c r="I23" s="84" t="str">
        <x:v>Product Owner</x:v>
      </x:c>
      <x:c r="J23" s="85" t="str">
        <x:v>Demonstration</x:v>
      </x:c>
      <x:c r="K23" s="85" t="str">
        <x:v>Proposed</x:v>
      </x:c>
      <x:c r="L23" s="84" t="str"/>
      <x:c r="M23" s="84" t="str"/>
      <x:c r="N23" s="84" t="str"/>
      <x:c r="O23" s="84" t="str"/>
      <x:c r="P23" s="84" t="str"/>
      <x:c r="Q23" s="84" t="str"/>
      <x:c r="R23" s="84" t="str"/>
      <x:c r="S23" s="84" t="str"/>
      <x:c r="T23" s="84" t="str"/>
    </x:row>
    <x:row r="24" ht="44" customHeight="1">
      <x:c r="A24" s="83" t="str">
        <x:v>ORG-003</x:v>
      </x:c>
      <x:c r="B24" s="84" t="str">
        <x:v>Organization, Roles, and Stakeholders</x:v>
      </x:c>
      <x:c r="C24" s="84" t="str">
        <x:v>Named accountability</x:v>
      </x:c>
      <x:c r="D24" s="84" t="str">
        <x:v>Every active demand, project, core function, risk, decision, benefit, resource plan, and financial plan shall have a named accountable owner and an alternate where required.</x:v>
      </x:c>
      <x:c r="E24" s="85" t="str">
        <x:v>Must</x:v>
      </x:c>
      <x:c r="F24" s="85" t="str">
        <x:v>1</x:v>
      </x:c>
      <x:c r="G24" s="85" t="str">
        <x:v>Configure</x:v>
      </x:c>
      <x:c r="H24" s="84" t="str">
        <x:v>Organization, Roles, and Stakeholders</x:v>
      </x:c>
      <x:c r="I24" s="84" t="str">
        <x:v>Division Chief</x:v>
      </x:c>
      <x:c r="J24" s="85" t="str">
        <x:v>Demonstration</x:v>
      </x:c>
      <x:c r="K24" s="85" t="str">
        <x:v>Proposed</x:v>
      </x:c>
      <x:c r="L24" s="84" t="str"/>
      <x:c r="M24" s="84" t="str"/>
      <x:c r="N24" s="84" t="str"/>
      <x:c r="O24" s="84" t="str"/>
      <x:c r="P24" s="84" t="str"/>
      <x:c r="Q24" s="84" t="str"/>
      <x:c r="R24" s="84" t="str"/>
      <x:c r="S24" s="84" t="str"/>
      <x:c r="T24" s="84" t="str"/>
    </x:row>
    <x:row r="25" ht="44" customHeight="1">
      <x:c r="A25" s="83" t="str">
        <x:v>ORG-004</x:v>
      </x:c>
      <x:c r="B25" s="84" t="str">
        <x:v>Organization, Roles, and Stakeholders</x:v>
      </x:c>
      <x:c r="C25" s="84" t="str">
        <x:v>Lead and support relationships</x:v>
      </x:c>
      <x:c r="D25" s="84" t="str">
        <x:v>The platform shall record lead, supporting, consulted, informed, approving, and beneficiary relationships for internal and external stakeholders at portfolio, project, milestone, and deliverable levels.</x:v>
      </x:c>
      <x:c r="E25" s="85" t="str">
        <x:v>Must</x:v>
      </x:c>
      <x:c r="F25" s="85" t="str">
        <x:v>1</x:v>
      </x:c>
      <x:c r="G25" s="85" t="str">
        <x:v>Extend</x:v>
      </x:c>
      <x:c r="H25" s="84" t="str">
        <x:v>Organization, Roles, and Stakeholders</x:v>
      </x:c>
      <x:c r="I25" s="84" t="str">
        <x:v>Project Manager</x:v>
      </x:c>
      <x:c r="J25" s="85" t="str">
        <x:v>Demonstration</x:v>
      </x:c>
      <x:c r="K25" s="85" t="str">
        <x:v>Proposed</x:v>
      </x:c>
      <x:c r="L25" s="84" t="str"/>
      <x:c r="M25" s="84" t="str"/>
      <x:c r="N25" s="84" t="str"/>
      <x:c r="O25" s="84" t="str"/>
      <x:c r="P25" s="84" t="str"/>
      <x:c r="Q25" s="84" t="str"/>
      <x:c r="R25" s="84" t="str"/>
      <x:c r="S25" s="84" t="str"/>
      <x:c r="T25" s="84" t="str"/>
    </x:row>
    <x:row r="26" ht="44" customHeight="1">
      <x:c r="A26" s="83" t="str">
        <x:v>ORG-005</x:v>
      </x:c>
      <x:c r="B26" s="84" t="str">
        <x:v>Organization, Roles, and Stakeholders</x:v>
      </x:c>
      <x:c r="C26" s="84" t="str">
        <x:v>External stakeholder register</x:v>
      </x:c>
      <x:c r="D26" s="84" t="str">
        <x:v>The platform shall maintain an external stakeholder register with organization, mission relationship, role, expected contribution, dependency, commitment, point of contact, and engagement status.</x:v>
      </x:c>
      <x:c r="E26" s="85" t="str">
        <x:v>Must</x:v>
      </x:c>
      <x:c r="F26" s="85" t="str">
        <x:v>2</x:v>
      </x:c>
      <x:c r="G26" s="85" t="str">
        <x:v>Configure</x:v>
      </x:c>
      <x:c r="H26" s="84" t="str">
        <x:v>Organization, Roles, and Stakeholders</x:v>
      </x:c>
      <x:c r="I26" s="84" t="str">
        <x:v>Stakeholder Manager</x:v>
      </x:c>
      <x:c r="J26" s="85" t="str">
        <x:v>Demonstration</x:v>
      </x:c>
      <x:c r="K26" s="85" t="str">
        <x:v>Proposed</x:v>
      </x:c>
      <x:c r="L26" s="84" t="str"/>
      <x:c r="M26" s="84" t="str"/>
      <x:c r="N26" s="84" t="str"/>
      <x:c r="O26" s="84" t="str"/>
      <x:c r="P26" s="84" t="str"/>
      <x:c r="Q26" s="84" t="str"/>
      <x:c r="R26" s="84" t="str"/>
      <x:c r="S26" s="84" t="str"/>
      <x:c r="T26" s="84" t="str"/>
    </x:row>
    <x:row r="27" ht="44" customHeight="1">
      <x:c r="A27" s="83" t="str">
        <x:v>ORG-006</x:v>
      </x:c>
      <x:c r="B27" s="84" t="str">
        <x:v>Organization, Roles, and Stakeholders</x:v>
      </x:c>
      <x:c r="C27" s="84" t="str">
        <x:v>RACI matrices</x:v>
      </x:c>
      <x:c r="D27" s="84" t="str">
        <x:v>Users shall generate and maintain RACI or equivalent responsibility matrices from stored roles and assignments, with conflict detection for missing or duplicate accountability.</x:v>
      </x:c>
      <x:c r="E27" s="85" t="str">
        <x:v>Must</x:v>
      </x:c>
      <x:c r="F27" s="85" t="str">
        <x:v>2</x:v>
      </x:c>
      <x:c r="G27" s="85" t="str">
        <x:v>Extend</x:v>
      </x:c>
      <x:c r="H27" s="84" t="str">
        <x:v>Organization, Roles, and Stakeholders</x:v>
      </x:c>
      <x:c r="I27" s="84" t="str">
        <x:v>Project Manager</x:v>
      </x:c>
      <x:c r="J27" s="85" t="str">
        <x:v>Demonstration</x:v>
      </x:c>
      <x:c r="K27" s="85" t="str">
        <x:v>Proposed</x:v>
      </x:c>
      <x:c r="L27" s="84" t="str"/>
      <x:c r="M27" s="84" t="str"/>
      <x:c r="N27" s="84" t="str"/>
      <x:c r="O27" s="84" t="str"/>
      <x:c r="P27" s="84" t="str"/>
      <x:c r="Q27" s="84" t="str"/>
      <x:c r="R27" s="84" t="str"/>
      <x:c r="S27" s="84" t="str"/>
      <x:c r="T27" s="84" t="str"/>
    </x:row>
    <x:row r="28" ht="44" customHeight="1">
      <x:c r="A28" s="83" t="str">
        <x:v>ORG-007</x:v>
      </x:c>
      <x:c r="B28" s="84" t="str">
        <x:v>Organization, Roles, and Stakeholders</x:v>
      </x:c>
      <x:c r="C28" s="84" t="str">
        <x:v>Delegation and acting roles</x:v>
      </x:c>
      <x:c r="D28" s="84" t="str">
        <x:v>Authorized users shall establish time-bounded delegations and acting roles for approval, reporting, and project responsibilities, with full audit history.</x:v>
      </x:c>
      <x:c r="E28" s="85" t="str">
        <x:v>Must</x:v>
      </x:c>
      <x:c r="F28" s="85" t="str">
        <x:v>1</x:v>
      </x:c>
      <x:c r="G28" s="85" t="str">
        <x:v>Configure</x:v>
      </x:c>
      <x:c r="H28" s="84" t="str">
        <x:v>Organization, Roles, and Stakeholders</x:v>
      </x:c>
      <x:c r="I28" s="84" t="str">
        <x:v>System Administrator</x:v>
      </x:c>
      <x:c r="J28" s="85" t="str">
        <x:v>Demonstration</x:v>
      </x:c>
      <x:c r="K28" s="85" t="str">
        <x:v>Proposed</x:v>
      </x:c>
      <x:c r="L28" s="84" t="str"/>
      <x:c r="M28" s="84" t="str"/>
      <x:c r="N28" s="84" t="str"/>
      <x:c r="O28" s="84" t="str"/>
      <x:c r="P28" s="84" t="str"/>
      <x:c r="Q28" s="84" t="str"/>
      <x:c r="R28" s="84" t="str"/>
      <x:c r="S28" s="84" t="str"/>
      <x:c r="T28" s="84" t="str"/>
    </x:row>
    <x:row r="29" ht="44" customHeight="1">
      <x:c r="A29" s="83" t="str">
        <x:v>ORG-008</x:v>
      </x:c>
      <x:c r="B29" s="84" t="str">
        <x:v>Organization, Roles, and Stakeholders</x:v>
      </x:c>
      <x:c r="C29" s="84" t="str">
        <x:v>Conflict-of-interest control</x:v>
      </x:c>
      <x:c r="D29" s="84" t="str">
        <x:v>The platform shall permit designated reviewers to record conflicts of interest and recuse or reassign assessors without deleting the audit trail.</x:v>
      </x:c>
      <x:c r="E29" s="85" t="str">
        <x:v>Must</x:v>
      </x:c>
      <x:c r="F29" s="85" t="str">
        <x:v>2</x:v>
      </x:c>
      <x:c r="G29" s="85" t="str">
        <x:v>Configure</x:v>
      </x:c>
      <x:c r="H29" s="84" t="str">
        <x:v>Organization, Roles, and Stakeholders</x:v>
      </x:c>
      <x:c r="I29" s="84" t="str">
        <x:v>Portfolio Governance Board</x:v>
      </x:c>
      <x:c r="J29" s="85" t="str">
        <x:v>Demonstration</x:v>
      </x:c>
      <x:c r="K29" s="85" t="str">
        <x:v>Proposed</x:v>
      </x:c>
      <x:c r="L29" s="84" t="str"/>
      <x:c r="M29" s="84" t="str"/>
      <x:c r="N29" s="84" t="str"/>
      <x:c r="O29" s="84" t="str"/>
      <x:c r="P29" s="84" t="str"/>
      <x:c r="Q29" s="84" t="str"/>
      <x:c r="R29" s="84" t="str"/>
      <x:c r="S29" s="84" t="str"/>
      <x:c r="T29" s="84" t="str"/>
    </x:row>
    <x:row r="30" ht="44" customHeight="1">
      <x:c r="A30" s="83" t="str">
        <x:v>ORG-009</x:v>
      </x:c>
      <x:c r="B30" s="84" t="str">
        <x:v>Organization, Roles, and Stakeholders</x:v>
      </x:c>
      <x:c r="C30" s="84" t="str">
        <x:v>Contact and directory synchronization</x:v>
      </x:c>
      <x:c r="D30" s="84" t="str">
        <x:v>The platform shall synchronize approved identity, organization, title, and contact attributes from the authoritative directory while preventing unauthorized local overwrite.</x:v>
      </x:c>
      <x:c r="E30" s="85" t="str">
        <x:v>Must</x:v>
      </x:c>
      <x:c r="F30" s="85" t="str">
        <x:v>3</x:v>
      </x:c>
      <x:c r="G30" s="85" t="str">
        <x:v>Integrate</x:v>
      </x:c>
      <x:c r="H30" s="84" t="str">
        <x:v>Organization, Roles, and Stakeholders</x:v>
      </x:c>
      <x:c r="I30" s="84" t="str">
        <x:v>Identity Manager</x:v>
      </x:c>
      <x:c r="J30" s="85" t="str">
        <x:v>Demonstration</x:v>
      </x:c>
      <x:c r="K30" s="85" t="str">
        <x:v>Proposed</x:v>
      </x:c>
      <x:c r="L30" s="84" t="str"/>
      <x:c r="M30" s="84" t="str"/>
      <x:c r="N30" s="84" t="str"/>
      <x:c r="O30" s="84" t="str"/>
      <x:c r="P30" s="84" t="str"/>
      <x:c r="Q30" s="84" t="str"/>
      <x:c r="R30" s="84" t="str"/>
      <x:c r="S30" s="84" t="str"/>
      <x:c r="T30" s="84" t="str"/>
    </x:row>
    <x:row r="31" ht="44" customHeight="1">
      <x:c r="A31" s="83" t="str">
        <x:v>ORG-010</x:v>
      </x:c>
      <x:c r="B31" s="84" t="str">
        <x:v>Organization, Roles, and Stakeholders</x:v>
      </x:c>
      <x:c r="C31" s="84" t="str">
        <x:v>Stakeholder contribution reporting</x:v>
      </x:c>
      <x:c r="D31" s="84" t="str">
        <x:v>Leaders shall view planned and actual contributions by internal and external stakeholder, including labor, deliverables, funding, decisions, and dependencies.</x:v>
      </x:c>
      <x:c r="E31" s="85" t="str">
        <x:v>Must</x:v>
      </x:c>
      <x:c r="F31" s="85" t="str">
        <x:v>3</x:v>
      </x:c>
      <x:c r="G31" s="85" t="str">
        <x:v>Extend</x:v>
      </x:c>
      <x:c r="H31" s="84" t="str">
        <x:v>Organization, Roles, and Stakeholders</x:v>
      </x:c>
      <x:c r="I31" s="84" t="str">
        <x:v>Division Portfolio Manager</x:v>
      </x:c>
      <x:c r="J31" s="85" t="str">
        <x:v>Demonstration</x:v>
      </x:c>
      <x:c r="K31" s="85" t="str">
        <x:v>Proposed</x:v>
      </x:c>
      <x:c r="L31" s="84" t="str"/>
      <x:c r="M31" s="84" t="str"/>
      <x:c r="N31" s="84" t="str"/>
      <x:c r="O31" s="84" t="str"/>
      <x:c r="P31" s="84" t="str"/>
      <x:c r="Q31" s="84" t="str"/>
      <x:c r="R31" s="84" t="str"/>
      <x:c r="S31" s="84" t="str"/>
      <x:c r="T31" s="84" t="str"/>
    </x:row>
    <x:row r="32" ht="44" customHeight="1">
      <x:c r="A32" s="83" t="str">
        <x:v>ORG-011</x:v>
      </x:c>
      <x:c r="B32" s="84" t="str">
        <x:v>Organization, Roles, and Stakeholders</x:v>
      </x:c>
      <x:c r="C32" s="84" t="str">
        <x:v>Division-specific configuration</x:v>
      </x:c>
      <x:c r="D32" s="84" t="str">
        <x:v>Each division shall be able to maintain authorized local views, intake forms, scoring questions, reporting schedules, and reference data while inheriting mandatory DDC5I enterprise controls.</x:v>
      </x:c>
      <x:c r="E32" s="85" t="str">
        <x:v>Must</x:v>
      </x:c>
      <x:c r="F32" s="85" t="str">
        <x:v>2</x:v>
      </x:c>
      <x:c r="G32" s="85" t="str">
        <x:v>Configure</x:v>
      </x:c>
      <x:c r="H32" s="84" t="str">
        <x:v>Organization, Roles, and Stakeholders</x:v>
      </x:c>
      <x:c r="I32" s="84" t="str">
        <x:v>Division Administrator</x:v>
      </x:c>
      <x:c r="J32" s="85" t="str">
        <x:v>Demonstration</x:v>
      </x:c>
      <x:c r="K32" s="85" t="str">
        <x:v>Proposed</x:v>
      </x:c>
      <x:c r="L32" s="84" t="str"/>
      <x:c r="M32" s="84" t="str"/>
      <x:c r="N32" s="84" t="str"/>
      <x:c r="O32" s="84" t="str"/>
      <x:c r="P32" s="84" t="str"/>
      <x:c r="Q32" s="84" t="str"/>
      <x:c r="R32" s="84" t="str"/>
      <x:c r="S32" s="84" t="str"/>
      <x:c r="T32" s="84" t="str"/>
    </x:row>
    <x:row r="33" ht="44" customHeight="1">
      <x:c r="A33" s="83" t="str">
        <x:v>ORG-012</x:v>
      </x:c>
      <x:c r="B33" s="84" t="str">
        <x:v>Organization, Roles, and Stakeholders</x:v>
      </x:c>
      <x:c r="C33" s="84" t="str">
        <x:v>Organizational change history</x:v>
      </x:c>
      <x:c r="D33" s="84" t="str">
        <x:v>The platform shall preserve historical ownership and reporting relationships when organizations, roles, or projects are realigned.</x:v>
      </x:c>
      <x:c r="E33" s="85" t="str">
        <x:v>Must</x:v>
      </x:c>
      <x:c r="F33" s="85" t="str">
        <x:v>3</x:v>
      </x:c>
      <x:c r="G33" s="85" t="str">
        <x:v>Configure</x:v>
      </x:c>
      <x:c r="H33" s="84" t="str">
        <x:v>Organization, Roles, and Stakeholders</x:v>
      </x:c>
      <x:c r="I33" s="84" t="str">
        <x:v>Data Steward</x:v>
      </x:c>
      <x:c r="J33" s="85" t="str">
        <x:v>Demonstration</x:v>
      </x:c>
      <x:c r="K33" s="85" t="str">
        <x:v>Proposed</x:v>
      </x:c>
      <x:c r="L33" s="84" t="str"/>
      <x:c r="M33" s="84" t="str"/>
      <x:c r="N33" s="84" t="str"/>
      <x:c r="O33" s="84" t="str"/>
      <x:c r="P33" s="84" t="str"/>
      <x:c r="Q33" s="84" t="str"/>
      <x:c r="R33" s="84" t="str"/>
      <x:c r="S33" s="84" t="str"/>
      <x:c r="T33" s="84" t="str"/>
    </x:row>
    <x:row r="34" ht="44" customHeight="1">
      <x:c r="A34" s="83" t="str">
        <x:v>DMD-001</x:v>
      </x:c>
      <x:c r="B34" s="84" t="str">
        <x:v>Demand and Work Intake</x:v>
      </x:c>
      <x:c r="C34" s="84" t="str">
        <x:v>Single intake portal</x:v>
      </x:c>
      <x:c r="D34" s="84" t="str">
        <x:v>The platform shall provide a common, accessible intake portal for ideas, demands, taskers, modernization initiatives, mandates, unfunded requirements, operational needs, and change requests.</x:v>
      </x:c>
      <x:c r="E34" s="85" t="str">
        <x:v>Must</x:v>
      </x:c>
      <x:c r="F34" s="85" t="str">
        <x:v>1</x:v>
      </x:c>
      <x:c r="G34" s="85" t="str">
        <x:v>Likely OOTB</x:v>
      </x:c>
      <x:c r="H34" s="84" t="str">
        <x:v>Demand and Work Intake</x:v>
      </x:c>
      <x:c r="I34" s="84" t="str">
        <x:v>Demand Manager</x:v>
      </x:c>
      <x:c r="J34" s="85" t="str">
        <x:v>Demonstration</x:v>
      </x:c>
      <x:c r="K34" s="85" t="str">
        <x:v>Proposed</x:v>
      </x:c>
      <x:c r="L34" s="84" t="str"/>
      <x:c r="M34" s="84" t="str"/>
      <x:c r="N34" s="84" t="str"/>
      <x:c r="O34" s="84" t="str"/>
      <x:c r="P34" s="84" t="str"/>
      <x:c r="Q34" s="84" t="str"/>
      <x:c r="R34" s="84" t="str"/>
      <x:c r="S34" s="84" t="str"/>
      <x:c r="T34" s="84" t="str"/>
    </x:row>
    <x:row r="35" ht="44" customHeight="1">
      <x:c r="A35" s="83" t="str">
        <x:v>DMD-002</x:v>
      </x:c>
      <x:c r="B35" s="84" t="str">
        <x:v>Demand and Work Intake</x:v>
      </x:c>
      <x:c r="C35" s="84" t="str">
        <x:v>Guided intake</x:v>
      </x:c>
      <x:c r="D35" s="84" t="str">
        <x:v>The intake experience shall use conditional questions, help text, examples, required fields, and progressive disclosure based on demand type and requester role.</x:v>
      </x:c>
      <x:c r="E35" s="85" t="str">
        <x:v>Must</x:v>
      </x:c>
      <x:c r="F35" s="85" t="str">
        <x:v>1</x:v>
      </x:c>
      <x:c r="G35" s="85" t="str">
        <x:v>Configure</x:v>
      </x:c>
      <x:c r="H35" s="84" t="str">
        <x:v>Demand and Work Intake</x:v>
      </x:c>
      <x:c r="I35" s="84" t="str">
        <x:v>Demand Manager</x:v>
      </x:c>
      <x:c r="J35" s="85" t="str">
        <x:v>Demonstration</x:v>
      </x:c>
      <x:c r="K35" s="85" t="str">
        <x:v>Proposed</x:v>
      </x:c>
      <x:c r="L35" s="84" t="str"/>
      <x:c r="M35" s="84" t="str"/>
      <x:c r="N35" s="84" t="str"/>
      <x:c r="O35" s="84" t="str"/>
      <x:c r="P35" s="84" t="str"/>
      <x:c r="Q35" s="84" t="str"/>
      <x:c r="R35" s="84" t="str"/>
      <x:c r="S35" s="84" t="str"/>
      <x:c r="T35" s="84" t="str"/>
    </x:row>
    <x:row r="36" ht="44" customHeight="1">
      <x:c r="A36" s="83" t="str">
        <x:v>DMD-003</x:v>
      </x:c>
      <x:c r="B36" s="84" t="str">
        <x:v>Demand and Work Intake</x:v>
      </x:c>
      <x:c r="C36" s="84" t="str">
        <x:v>Minimum intake data</x:v>
      </x:c>
      <x:c r="D36" s="84" t="str">
        <x:v>Every submitted demand shall capture requester, sponsoring organization, title, problem or opportunity, mission need, desired outcome, required date, beneficiaries, urgency, consequences of inaction, preliminary scope, and known dependencies.</x:v>
      </x:c>
      <x:c r="E36" s="85" t="str">
        <x:v>Must</x:v>
      </x:c>
      <x:c r="F36" s="85" t="str">
        <x:v>1</x:v>
      </x:c>
      <x:c r="G36" s="85" t="str">
        <x:v>Configure</x:v>
      </x:c>
      <x:c r="H36" s="84" t="str">
        <x:v>Demand and Work Intake</x:v>
      </x:c>
      <x:c r="I36" s="84" t="str">
        <x:v>Demand Manager</x:v>
      </x:c>
      <x:c r="J36" s="85" t="str">
        <x:v>Demonstration</x:v>
      </x:c>
      <x:c r="K36" s="85" t="str">
        <x:v>Proposed</x:v>
      </x:c>
      <x:c r="L36" s="84" t="str"/>
      <x:c r="M36" s="84" t="str"/>
      <x:c r="N36" s="84" t="str"/>
      <x:c r="O36" s="84" t="str"/>
      <x:c r="P36" s="84" t="str"/>
      <x:c r="Q36" s="84" t="str"/>
      <x:c r="R36" s="84" t="str"/>
      <x:c r="S36" s="84" t="str"/>
      <x:c r="T36" s="84" t="str"/>
    </x:row>
    <x:row r="37" ht="44" customHeight="1">
      <x:c r="A37" s="83" t="str">
        <x:v>DMD-004</x:v>
      </x:c>
      <x:c r="B37" s="84" t="str">
        <x:v>Demand and Work Intake</x:v>
      </x:c>
      <x:c r="C37" s="84" t="str">
        <x:v>Purpose and end state</x:v>
      </x:c>
      <x:c r="D37" s="84" t="str">
        <x:v>The intake shall require a clear purpose statement, measurable end state, and explanation of value to the Joint Staff and Joint or coalition forces before assessment begins.</x:v>
      </x:c>
      <x:c r="E37" s="85" t="str">
        <x:v>Must</x:v>
      </x:c>
      <x:c r="F37" s="85" t="str">
        <x:v>1</x:v>
      </x:c>
      <x:c r="G37" s="85" t="str">
        <x:v>Configure</x:v>
      </x:c>
      <x:c r="H37" s="84" t="str">
        <x:v>Demand and Work Intake</x:v>
      </x:c>
      <x:c r="I37" s="84" t="str">
        <x:v>Demand Sponsor</x:v>
      </x:c>
      <x:c r="J37" s="85" t="str">
        <x:v>Demonstration</x:v>
      </x:c>
      <x:c r="K37" s="85" t="str">
        <x:v>Proposed</x:v>
      </x:c>
      <x:c r="L37" s="84" t="str"/>
      <x:c r="M37" s="84" t="str"/>
      <x:c r="N37" s="84" t="str"/>
      <x:c r="O37" s="84" t="str"/>
      <x:c r="P37" s="84" t="str"/>
      <x:c r="Q37" s="84" t="str"/>
      <x:c r="R37" s="84" t="str"/>
      <x:c r="S37" s="84" t="str"/>
      <x:c r="T37" s="84" t="str"/>
    </x:row>
    <x:row r="38" ht="44" customHeight="1">
      <x:c r="A38" s="83" t="str">
        <x:v>DMD-005</x:v>
      </x:c>
      <x:c r="B38" s="84" t="str">
        <x:v>Demand and Work Intake</x:v>
      </x:c>
      <x:c r="C38" s="84" t="str">
        <x:v>Demand categories</x:v>
      </x:c>
      <x:c r="D38" s="84" t="str">
        <x:v>Authorized administrators shall configure demand categories including named project, recurring core function, emergent tasker, compliance mandate, capability gap, technical debt, process improvement, data or standards work, and innovation experiment.</x:v>
      </x:c>
      <x:c r="E38" s="85" t="str">
        <x:v>Must</x:v>
      </x:c>
      <x:c r="F38" s="85" t="str">
        <x:v>1</x:v>
      </x:c>
      <x:c r="G38" s="85" t="str">
        <x:v>Configure</x:v>
      </x:c>
      <x:c r="H38" s="84" t="str">
        <x:v>Demand and Work Intake</x:v>
      </x:c>
      <x:c r="I38" s="84" t="str">
        <x:v>System Administrator</x:v>
      </x:c>
      <x:c r="J38" s="85" t="str">
        <x:v>Demonstration</x:v>
      </x:c>
      <x:c r="K38" s="85" t="str">
        <x:v>Proposed</x:v>
      </x:c>
      <x:c r="L38" s="84" t="str"/>
      <x:c r="M38" s="84" t="str"/>
      <x:c r="N38" s="84" t="str"/>
      <x:c r="O38" s="84" t="str"/>
      <x:c r="P38" s="84" t="str"/>
      <x:c r="Q38" s="84" t="str"/>
      <x:c r="R38" s="84" t="str"/>
      <x:c r="S38" s="84" t="str"/>
      <x:c r="T38" s="84" t="str"/>
    </x:row>
    <x:row r="39" ht="44" customHeight="1">
      <x:c r="A39" s="83" t="str">
        <x:v>DMD-006</x:v>
      </x:c>
      <x:c r="B39" s="84" t="str">
        <x:v>Demand and Work Intake</x:v>
      </x:c>
      <x:c r="C39" s="84" t="str">
        <x:v>Core-function demand</x:v>
      </x:c>
      <x:c r="D39" s="84" t="str">
        <x:v>Users shall record workload demands against recurring core functions even when the work does not qualify as a formal project.</x:v>
      </x:c>
      <x:c r="E39" s="85" t="str">
        <x:v>Must</x:v>
      </x:c>
      <x:c r="F39" s="85" t="str">
        <x:v>1</x:v>
      </x:c>
      <x:c r="G39" s="85" t="str">
        <x:v>Extend</x:v>
      </x:c>
      <x:c r="H39" s="84" t="str">
        <x:v>Demand and Work Intake</x:v>
      </x:c>
      <x:c r="I39" s="84" t="str">
        <x:v>Division Portfolio Manager</x:v>
      </x:c>
      <x:c r="J39" s="85" t="str">
        <x:v>Demonstration</x:v>
      </x:c>
      <x:c r="K39" s="85" t="str">
        <x:v>Proposed</x:v>
      </x:c>
      <x:c r="L39" s="84" t="str"/>
      <x:c r="M39" s="84" t="str"/>
      <x:c r="N39" s="84" t="str"/>
      <x:c r="O39" s="84" t="str"/>
      <x:c r="P39" s="84" t="str"/>
      <x:c r="Q39" s="84" t="str"/>
      <x:c r="R39" s="84" t="str"/>
      <x:c r="S39" s="84" t="str"/>
      <x:c r="T39" s="84" t="str"/>
    </x:row>
    <x:row r="40" ht="44" customHeight="1">
      <x:c r="A40" s="83" t="str">
        <x:v>DMD-007</x:v>
      </x:c>
      <x:c r="B40" s="84" t="str">
        <x:v>Demand and Work Intake</x:v>
      </x:c>
      <x:c r="C40" s="84" t="str">
        <x:v>Attachment and evidence intake</x:v>
      </x:c>
      <x:c r="D40" s="84" t="str">
        <x:v>Requesters shall attach or link supporting documents, emails, directives, estimates, presentations, data, and prior decisions, subject to security and file controls.</x:v>
      </x:c>
      <x:c r="E40" s="85" t="str">
        <x:v>Must</x:v>
      </x:c>
      <x:c r="F40" s="85" t="str">
        <x:v>1</x:v>
      </x:c>
      <x:c r="G40" s="85" t="str">
        <x:v>Configure</x:v>
      </x:c>
      <x:c r="H40" s="84" t="str">
        <x:v>Demand and Work Intake</x:v>
      </x:c>
      <x:c r="I40" s="84" t="str">
        <x:v>Demand Sponsor</x:v>
      </x:c>
      <x:c r="J40" s="85" t="str">
        <x:v>Demonstration</x:v>
      </x:c>
      <x:c r="K40" s="85" t="str">
        <x:v>Proposed</x:v>
      </x:c>
      <x:c r="L40" s="84" t="str"/>
      <x:c r="M40" s="84" t="str"/>
      <x:c r="N40" s="84" t="str"/>
      <x:c r="O40" s="84" t="str"/>
      <x:c r="P40" s="84" t="str"/>
      <x:c r="Q40" s="84" t="str"/>
      <x:c r="R40" s="84" t="str"/>
      <x:c r="S40" s="84" t="str"/>
      <x:c r="T40" s="84" t="str"/>
    </x:row>
    <x:row r="41" ht="44" customHeight="1">
      <x:c r="A41" s="83" t="str">
        <x:v>DMD-008</x:v>
      </x:c>
      <x:c r="B41" s="84" t="str">
        <x:v>Demand and Work Intake</x:v>
      </x:c>
      <x:c r="C41" s="84" t="str">
        <x:v>Draft and collaborate</x:v>
      </x:c>
      <x:c r="D41" s="84" t="str">
        <x:v>Requesters shall save drafts, invite co-authors, track revisions, and submit only when validation rules are satisfied.</x:v>
      </x:c>
      <x:c r="E41" s="85" t="str">
        <x:v>Must</x:v>
      </x:c>
      <x:c r="F41" s="85" t="str">
        <x:v>1</x:v>
      </x:c>
      <x:c r="G41" s="85" t="str">
        <x:v>Configure</x:v>
      </x:c>
      <x:c r="H41" s="84" t="str">
        <x:v>Demand and Work Intake</x:v>
      </x:c>
      <x:c r="I41" s="84" t="str">
        <x:v>Demand Sponsor</x:v>
      </x:c>
      <x:c r="J41" s="85" t="str">
        <x:v>Demonstration</x:v>
      </x:c>
      <x:c r="K41" s="85" t="str">
        <x:v>Proposed</x:v>
      </x:c>
      <x:c r="L41" s="84" t="str"/>
      <x:c r="M41" s="84" t="str"/>
      <x:c r="N41" s="84" t="str"/>
      <x:c r="O41" s="84" t="str"/>
      <x:c r="P41" s="84" t="str"/>
      <x:c r="Q41" s="84" t="str"/>
      <x:c r="R41" s="84" t="str"/>
      <x:c r="S41" s="84" t="str"/>
      <x:c r="T41" s="84" t="str"/>
    </x:row>
    <x:row r="42" ht="44" customHeight="1">
      <x:c r="A42" s="83" t="str">
        <x:v>DMD-009</x:v>
      </x:c>
      <x:c r="B42" s="84" t="str">
        <x:v>Demand and Work Intake</x:v>
      </x:c>
      <x:c r="C42" s="84" t="str">
        <x:v>Duplicate detection</x:v>
      </x:c>
      <x:c r="D42" s="84" t="str">
        <x:v>The platform shall identify potentially duplicate or overlapping demands using configurable metadata and text similarity and allow reviewers to merge, link, or dismiss the match.</x:v>
      </x:c>
      <x:c r="E42" s="85" t="str">
        <x:v>Must</x:v>
      </x:c>
      <x:c r="F42" s="85" t="str">
        <x:v>4</x:v>
      </x:c>
      <x:c r="G42" s="85" t="str">
        <x:v>Extend</x:v>
      </x:c>
      <x:c r="H42" s="84" t="str">
        <x:v>Demand and Work Intake</x:v>
      </x:c>
      <x:c r="I42" s="84" t="str">
        <x:v>Demand Manager</x:v>
      </x:c>
      <x:c r="J42" s="85" t="str">
        <x:v>Demonstration</x:v>
      </x:c>
      <x:c r="K42" s="85" t="str">
        <x:v>Proposed</x:v>
      </x:c>
      <x:c r="L42" s="84" t="str"/>
      <x:c r="M42" s="84" t="str"/>
      <x:c r="N42" s="84" t="str"/>
      <x:c r="O42" s="84" t="str"/>
      <x:c r="P42" s="84" t="str"/>
      <x:c r="Q42" s="84" t="str"/>
      <x:c r="R42" s="84" t="str"/>
      <x:c r="S42" s="84" t="str"/>
      <x:c r="T42" s="84" t="str"/>
    </x:row>
    <x:row r="43" ht="44" customHeight="1">
      <x:c r="A43" s="83" t="str">
        <x:v>DMD-010</x:v>
      </x:c>
      <x:c r="B43" s="84" t="str">
        <x:v>Demand and Work Intake</x:v>
      </x:c>
      <x:c r="C43" s="84" t="str">
        <x:v>Demand relationships</x:v>
      </x:c>
      <x:c r="D43" s="84" t="str">
        <x:v>Users shall link demands as duplicates, predecessors, successors, alternatives, parent-child items, bundled requests, or mutually exclusive options.</x:v>
      </x:c>
      <x:c r="E43" s="85" t="str">
        <x:v>Must</x:v>
      </x:c>
      <x:c r="F43" s="85" t="str">
        <x:v>2</x:v>
      </x:c>
      <x:c r="G43" s="85" t="str">
        <x:v>Configure</x:v>
      </x:c>
      <x:c r="H43" s="84" t="str">
        <x:v>Demand and Work Intake</x:v>
      </x:c>
      <x:c r="I43" s="84" t="str">
        <x:v>Demand Manager</x:v>
      </x:c>
      <x:c r="J43" s="85" t="str">
        <x:v>Demonstration</x:v>
      </x:c>
      <x:c r="K43" s="85" t="str">
        <x:v>Proposed</x:v>
      </x:c>
      <x:c r="L43" s="84" t="str"/>
      <x:c r="M43" s="84" t="str"/>
      <x:c r="N43" s="84" t="str"/>
      <x:c r="O43" s="84" t="str"/>
      <x:c r="P43" s="84" t="str"/>
      <x:c r="Q43" s="84" t="str"/>
      <x:c r="R43" s="84" t="str"/>
      <x:c r="S43" s="84" t="str"/>
      <x:c r="T43" s="84" t="str"/>
    </x:row>
    <x:row r="44" ht="44" customHeight="1">
      <x:c r="A44" s="83" t="str">
        <x:v>DMD-011</x:v>
      </x:c>
      <x:c r="B44" s="84" t="str">
        <x:v>Demand and Work Intake</x:v>
      </x:c>
      <x:c r="C44" s="84" t="str">
        <x:v>Intake SLA</x:v>
      </x:c>
      <x:c r="D44" s="84" t="str">
        <x:v>The platform shall measure acknowledgment, triage, assessment, decision, and requester-notification times against configurable service-level targets.</x:v>
      </x:c>
      <x:c r="E44" s="85" t="str">
        <x:v>Must</x:v>
      </x:c>
      <x:c r="F44" s="85" t="str">
        <x:v>1</x:v>
      </x:c>
      <x:c r="G44" s="85" t="str">
        <x:v>Configure</x:v>
      </x:c>
      <x:c r="H44" s="84" t="str">
        <x:v>Demand and Work Intake</x:v>
      </x:c>
      <x:c r="I44" s="84" t="str">
        <x:v>Demand Manager</x:v>
      </x:c>
      <x:c r="J44" s="85" t="str">
        <x:v>Demonstration</x:v>
      </x:c>
      <x:c r="K44" s="85" t="str">
        <x:v>Proposed</x:v>
      </x:c>
      <x:c r="L44" s="84" t="str"/>
      <x:c r="M44" s="84" t="str"/>
      <x:c r="N44" s="84" t="str"/>
      <x:c r="O44" s="84" t="str"/>
      <x:c r="P44" s="84" t="str"/>
      <x:c r="Q44" s="84" t="str"/>
      <x:c r="R44" s="84" t="str"/>
      <x:c r="S44" s="84" t="str"/>
      <x:c r="T44" s="84" t="str"/>
    </x:row>
    <x:row r="45" ht="44" customHeight="1">
      <x:c r="A45" s="83" t="str">
        <x:v>DMD-012</x:v>
      </x:c>
      <x:c r="B45" s="84" t="str">
        <x:v>Demand and Work Intake</x:v>
      </x:c>
      <x:c r="C45" s="84" t="str">
        <x:v>Return for clarification</x:v>
      </x:c>
      <x:c r="D45" s="84" t="str">
        <x:v>Reviewers shall return a demand for clarification with specific questions, due dates, status, and an auditable response thread.</x:v>
      </x:c>
      <x:c r="E45" s="85" t="str">
        <x:v>Must</x:v>
      </x:c>
      <x:c r="F45" s="85" t="str">
        <x:v>1</x:v>
      </x:c>
      <x:c r="G45" s="85" t="str">
        <x:v>Configure</x:v>
      </x:c>
      <x:c r="H45" s="84" t="str">
        <x:v>Demand and Work Intake</x:v>
      </x:c>
      <x:c r="I45" s="84" t="str">
        <x:v>Demand Manager</x:v>
      </x:c>
      <x:c r="J45" s="85" t="str">
        <x:v>Demonstration</x:v>
      </x:c>
      <x:c r="K45" s="85" t="str">
        <x:v>Proposed</x:v>
      </x:c>
      <x:c r="L45" s="84" t="str"/>
      <x:c r="M45" s="84" t="str"/>
      <x:c r="N45" s="84" t="str"/>
      <x:c r="O45" s="84" t="str"/>
      <x:c r="P45" s="84" t="str"/>
      <x:c r="Q45" s="84" t="str"/>
      <x:c r="R45" s="84" t="str"/>
      <x:c r="S45" s="84" t="str"/>
      <x:c r="T45" s="84" t="str"/>
    </x:row>
    <x:row r="46" ht="44" customHeight="1">
      <x:c r="A46" s="83" t="str">
        <x:v>DMD-013</x:v>
      </x:c>
      <x:c r="B46" s="84" t="str">
        <x:v>Demand and Work Intake</x:v>
      </x:c>
      <x:c r="C46" s="84" t="str">
        <x:v>Sensitive submission</x:v>
      </x:c>
      <x:c r="D46" s="84" t="str">
        <x:v>Authorized requesters shall mark and route sensitive demands so that metadata and attachments are visible only to approved roles.</x:v>
      </x:c>
      <x:c r="E46" s="85" t="str">
        <x:v>Must</x:v>
      </x:c>
      <x:c r="F46" s="85" t="str">
        <x:v>1</x:v>
      </x:c>
      <x:c r="G46" s="85" t="str">
        <x:v>Configure</x:v>
      </x:c>
      <x:c r="H46" s="84" t="str">
        <x:v>Demand and Work Intake</x:v>
      </x:c>
      <x:c r="I46" s="84" t="str">
        <x:v>Security Manager</x:v>
      </x:c>
      <x:c r="J46" s="85" t="str">
        <x:v>Demonstration</x:v>
      </x:c>
      <x:c r="K46" s="85" t="str">
        <x:v>Proposed</x:v>
      </x:c>
      <x:c r="L46" s="84" t="str"/>
      <x:c r="M46" s="84" t="str"/>
      <x:c r="N46" s="84" t="str"/>
      <x:c r="O46" s="84" t="str"/>
      <x:c r="P46" s="84" t="str"/>
      <x:c r="Q46" s="84" t="str"/>
      <x:c r="R46" s="84" t="str"/>
      <x:c r="S46" s="84" t="str"/>
      <x:c r="T46" s="84" t="str"/>
    </x:row>
    <x:row r="47" ht="44" customHeight="1">
      <x:c r="A47" s="83" t="str">
        <x:v>DMD-014</x:v>
      </x:c>
      <x:c r="B47" s="84" t="str">
        <x:v>Demand and Work Intake</x:v>
      </x:c>
      <x:c r="C47" s="84" t="str">
        <x:v>Bulk intake</x:v>
      </x:c>
      <x:c r="D47" s="84" t="str">
        <x:v>Authorized users shall create or update demands through a validated Excel template and receive row-level success and error results.</x:v>
      </x:c>
      <x:c r="E47" s="85" t="str">
        <x:v>Must</x:v>
      </x:c>
      <x:c r="F47" s="85" t="str">
        <x:v>1</x:v>
      </x:c>
      <x:c r="G47" s="85" t="str">
        <x:v>Integrate</x:v>
      </x:c>
      <x:c r="H47" s="84" t="str">
        <x:v>Demand and Work Intake</x:v>
      </x:c>
      <x:c r="I47" s="84" t="str">
        <x:v>Data Manager</x:v>
      </x:c>
      <x:c r="J47" s="85" t="str">
        <x:v>Demonstration</x:v>
      </x:c>
      <x:c r="K47" s="85" t="str">
        <x:v>Proposed</x:v>
      </x:c>
      <x:c r="L47" s="84" t="str"/>
      <x:c r="M47" s="84" t="str"/>
      <x:c r="N47" s="84" t="str"/>
      <x:c r="O47" s="84" t="str"/>
      <x:c r="P47" s="84" t="str"/>
      <x:c r="Q47" s="84" t="str"/>
      <x:c r="R47" s="84" t="str"/>
      <x:c r="S47" s="84" t="str"/>
      <x:c r="T47" s="84" t="str"/>
    </x:row>
    <x:row r="48" ht="44" customHeight="1">
      <x:c r="A48" s="83" t="str">
        <x:v>DMD-015</x:v>
      </x:c>
      <x:c r="B48" s="84" t="str">
        <x:v>Demand and Work Intake</x:v>
      </x:c>
      <x:c r="C48" s="84" t="str">
        <x:v>Email-originated demand</x:v>
      </x:c>
      <x:c r="D48" s="84" t="str">
        <x:v>Authorized users shall convert an Outlook email or approved shared-mailbox message into a draft demand while preserving the source message reference and attachments allowed by policy.</x:v>
      </x:c>
      <x:c r="E48" s="85" t="str">
        <x:v>Must</x:v>
      </x:c>
      <x:c r="F48" s="85" t="str">
        <x:v>3</x:v>
      </x:c>
      <x:c r="G48" s="85" t="str">
        <x:v>Integrate</x:v>
      </x:c>
      <x:c r="H48" s="84" t="str">
        <x:v>Demand and Work Intake</x:v>
      </x:c>
      <x:c r="I48" s="84" t="str">
        <x:v>Demand Manager</x:v>
      </x:c>
      <x:c r="J48" s="85" t="str">
        <x:v>Demonstration</x:v>
      </x:c>
      <x:c r="K48" s="85" t="str">
        <x:v>Proposed</x:v>
      </x:c>
      <x:c r="L48" s="84" t="str"/>
      <x:c r="M48" s="84" t="str"/>
      <x:c r="N48" s="84" t="str"/>
      <x:c r="O48" s="84" t="str"/>
      <x:c r="P48" s="84" t="str"/>
      <x:c r="Q48" s="84" t="str"/>
      <x:c r="R48" s="84" t="str"/>
      <x:c r="S48" s="84" t="str"/>
      <x:c r="T48" s="84" t="str"/>
    </x:row>
    <x:row r="49" ht="44" customHeight="1">
      <x:c r="A49" s="83" t="str">
        <x:v>DMD-016</x:v>
      </x:c>
      <x:c r="B49" s="84" t="str">
        <x:v>Demand and Work Intake</x:v>
      </x:c>
      <x:c r="C49" s="84" t="str">
        <x:v>Demand status transparency</x:v>
      </x:c>
      <x:c r="D49" s="84" t="str">
        <x:v>Requesters shall see the current stage, owner, next action, target decision date, pending information, and final disposition of their submissions.</x:v>
      </x:c>
      <x:c r="E49" s="85" t="str">
        <x:v>Must</x:v>
      </x:c>
      <x:c r="F49" s="85" t="str">
        <x:v>1</x:v>
      </x:c>
      <x:c r="G49" s="85" t="str">
        <x:v>Configure</x:v>
      </x:c>
      <x:c r="H49" s="84" t="str">
        <x:v>Demand and Work Intake</x:v>
      </x:c>
      <x:c r="I49" s="84" t="str">
        <x:v>Demand Manager</x:v>
      </x:c>
      <x:c r="J49" s="85" t="str">
        <x:v>Demonstration</x:v>
      </x:c>
      <x:c r="K49" s="85" t="str">
        <x:v>Proposed</x:v>
      </x:c>
      <x:c r="L49" s="84" t="str"/>
      <x:c r="M49" s="84" t="str"/>
      <x:c r="N49" s="84" t="str"/>
      <x:c r="O49" s="84" t="str"/>
      <x:c r="P49" s="84" t="str"/>
      <x:c r="Q49" s="84" t="str"/>
      <x:c r="R49" s="84" t="str"/>
      <x:c r="S49" s="84" t="str"/>
      <x:c r="T49" s="84" t="str"/>
    </x:row>
    <x:row r="50" ht="44" customHeight="1">
      <x:c r="A50" s="83" t="str">
        <x:v>DMD-017</x:v>
      </x:c>
      <x:c r="B50" s="84" t="str">
        <x:v>Demand and Work Intake</x:v>
      </x:c>
      <x:c r="C50" s="84" t="str">
        <x:v>Demand aging and backlog</x:v>
      </x:c>
      <x:c r="D50" s="84" t="str">
        <x:v>The platform shall report demand aging, stalled items, backlog by division and category, and demands approaching or exceeding decision SLAs.</x:v>
      </x:c>
      <x:c r="E50" s="85" t="str">
        <x:v>Must</x:v>
      </x:c>
      <x:c r="F50" s="85" t="str">
        <x:v>1</x:v>
      </x:c>
      <x:c r="G50" s="85" t="str">
        <x:v>Configure</x:v>
      </x:c>
      <x:c r="H50" s="84" t="str">
        <x:v>Demand and Work Intake</x:v>
      </x:c>
      <x:c r="I50" s="84" t="str">
        <x:v>DDC5I Portfolio Owner</x:v>
      </x:c>
      <x:c r="J50" s="85" t="str">
        <x:v>Demonstration</x:v>
      </x:c>
      <x:c r="K50" s="85" t="str">
        <x:v>Proposed</x:v>
      </x:c>
      <x:c r="L50" s="84" t="str"/>
      <x:c r="M50" s="84" t="str"/>
      <x:c r="N50" s="84" t="str"/>
      <x:c r="O50" s="84" t="str"/>
      <x:c r="P50" s="84" t="str"/>
      <x:c r="Q50" s="84" t="str"/>
      <x:c r="R50" s="84" t="str"/>
      <x:c r="S50" s="84" t="str"/>
      <x:c r="T50" s="84" t="str"/>
    </x:row>
    <x:row r="51" ht="44" customHeight="1">
      <x:c r="A51" s="83" t="str">
        <x:v>DMD-018</x:v>
      </x:c>
      <x:c r="B51" s="84" t="str">
        <x:v>Demand and Work Intake</x:v>
      </x:c>
      <x:c r="C51" s="84" t="str">
        <x:v>Withdraw and resubmit</x:v>
      </x:c>
      <x:c r="D51" s="84" t="str">
        <x:v>Requesters shall withdraw eligible demands and create a new revision from a declined, deferred, or closed demand without altering the original record.</x:v>
      </x:c>
      <x:c r="E51" s="85" t="str">
        <x:v>Must</x:v>
      </x:c>
      <x:c r="F51" s="85" t="str">
        <x:v>1</x:v>
      </x:c>
      <x:c r="G51" s="85" t="str">
        <x:v>Configure</x:v>
      </x:c>
      <x:c r="H51" s="84" t="str">
        <x:v>Demand and Work Intake</x:v>
      </x:c>
      <x:c r="I51" s="84" t="str">
        <x:v>Demand Sponsor</x:v>
      </x:c>
      <x:c r="J51" s="85" t="str">
        <x:v>Demonstration</x:v>
      </x:c>
      <x:c r="K51" s="85" t="str">
        <x:v>Proposed</x:v>
      </x:c>
      <x:c r="L51" s="84" t="str"/>
      <x:c r="M51" s="84" t="str"/>
      <x:c r="N51" s="84" t="str"/>
      <x:c r="O51" s="84" t="str"/>
      <x:c r="P51" s="84" t="str"/>
      <x:c r="Q51" s="84" t="str"/>
      <x:c r="R51" s="84" t="str"/>
      <x:c r="S51" s="84" t="str"/>
      <x:c r="T51" s="84" t="str"/>
    </x:row>
    <x:row r="52" ht="44" customHeight="1">
      <x:c r="A52" s="83" t="str">
        <x:v>ASM-001</x:v>
      </x:c>
      <x:c r="B52" s="84" t="str">
        <x:v>Assessment, Prioritization, and Approval</x:v>
      </x:c>
      <x:c r="C52" s="84" t="str">
        <x:v>Configurable assessment</x:v>
      </x:c>
      <x:c r="D52" s="84" t="str">
        <x:v>The platform shall route each demand through a configurable assessment appropriate to its type, value, urgency, sensitivity, and anticipated resource impact.</x:v>
      </x:c>
      <x:c r="E52" s="85" t="str">
        <x:v>Must</x:v>
      </x:c>
      <x:c r="F52" s="85" t="str">
        <x:v>1</x:v>
      </x:c>
      <x:c r="G52" s="85" t="str">
        <x:v>Likely OOTB</x:v>
      </x:c>
      <x:c r="H52" s="84" t="str">
        <x:v>Assessment, Prioritization, and Approval</x:v>
      </x:c>
      <x:c r="I52" s="84" t="str">
        <x:v>Demand Manager</x:v>
      </x:c>
      <x:c r="J52" s="85" t="str">
        <x:v>Demonstration</x:v>
      </x:c>
      <x:c r="K52" s="85" t="str">
        <x:v>Proposed</x:v>
      </x:c>
      <x:c r="L52" s="84" t="str"/>
      <x:c r="M52" s="84" t="str"/>
      <x:c r="N52" s="84" t="str"/>
      <x:c r="O52" s="84" t="str"/>
      <x:c r="P52" s="84" t="str"/>
      <x:c r="Q52" s="84" t="str"/>
      <x:c r="R52" s="84" t="str"/>
      <x:c r="S52" s="84" t="str"/>
      <x:c r="T52" s="84" t="str"/>
    </x:row>
    <x:row r="53" ht="44" customHeight="1">
      <x:c r="A53" s="83" t="str">
        <x:v>ASM-002</x:v>
      </x:c>
      <x:c r="B53" s="84" t="str">
        <x:v>Assessment, Prioritization, and Approval</x:v>
      </x:c>
      <x:c r="C53" s="84" t="str">
        <x:v>Mission-alignment score</x:v>
      </x:c>
      <x:c r="D53" s="84" t="str">
        <x:v>The assessment shall measure alignment to DDC5I mission, Joint Staff priorities, division objectives, directed mandates, and Joint or coalition operational outcomes.</x:v>
      </x:c>
      <x:c r="E53" s="85" t="str">
        <x:v>Must</x:v>
      </x:c>
      <x:c r="F53" s="85" t="str">
        <x:v>1</x:v>
      </x:c>
      <x:c r="G53" s="85" t="str">
        <x:v>Configure</x:v>
      </x:c>
      <x:c r="H53" s="84" t="str">
        <x:v>Assessment, Prioritization, and Approval</x:v>
      </x:c>
      <x:c r="I53" s="84" t="str">
        <x:v>Strategy Lead</x:v>
      </x:c>
      <x:c r="J53" s="85" t="str">
        <x:v>Demonstration</x:v>
      </x:c>
      <x:c r="K53" s="85" t="str">
        <x:v>Proposed</x:v>
      </x:c>
      <x:c r="L53" s="84" t="str"/>
      <x:c r="M53" s="84" t="str"/>
      <x:c r="N53" s="84" t="str"/>
      <x:c r="O53" s="84" t="str"/>
      <x:c r="P53" s="84" t="str"/>
      <x:c r="Q53" s="84" t="str"/>
      <x:c r="R53" s="84" t="str"/>
      <x:c r="S53" s="84" t="str"/>
      <x:c r="T53" s="84" t="str"/>
    </x:row>
    <x:row r="54" ht="44" customHeight="1">
      <x:c r="A54" s="83" t="str">
        <x:v>ASM-003</x:v>
      </x:c>
      <x:c r="B54" s="84" t="str">
        <x:v>Assessment, Prioritization, and Approval</x:v>
      </x:c>
      <x:c r="C54" s="84" t="str">
        <x:v>Value and ROI assessment</x:v>
      </x:c>
      <x:c r="D54" s="84" t="str">
        <x:v>The assessment shall capture quantitative and qualitative benefits, cost avoidance, readiness or interoperability impact, risk reduction, time saved, customer reach, and confidence in each estimate.</x:v>
      </x:c>
      <x:c r="E54" s="85" t="str">
        <x:v>Must</x:v>
      </x:c>
      <x:c r="F54" s="85" t="str">
        <x:v>1</x:v>
      </x:c>
      <x:c r="G54" s="85" t="str">
        <x:v>Configure</x:v>
      </x:c>
      <x:c r="H54" s="84" t="str">
        <x:v>Assessment, Prioritization, and Approval</x:v>
      </x:c>
      <x:c r="I54" s="84" t="str">
        <x:v>Benefits Owner</x:v>
      </x:c>
      <x:c r="J54" s="85" t="str">
        <x:v>Demonstration</x:v>
      </x:c>
      <x:c r="K54" s="85" t="str">
        <x:v>Proposed</x:v>
      </x:c>
      <x:c r="L54" s="84" t="str"/>
      <x:c r="M54" s="84" t="str"/>
      <x:c r="N54" s="84" t="str"/>
      <x:c r="O54" s="84" t="str"/>
      <x:c r="P54" s="84" t="str"/>
      <x:c r="Q54" s="84" t="str"/>
      <x:c r="R54" s="84" t="str"/>
      <x:c r="S54" s="84" t="str"/>
      <x:c r="T54" s="84" t="str"/>
    </x:row>
    <x:row r="55" ht="44" customHeight="1">
      <x:c r="A55" s="83" t="str">
        <x:v>ASM-004</x:v>
      </x:c>
      <x:c r="B55" s="84" t="str">
        <x:v>Assessment, Prioritization, and Approval</x:v>
      </x:c>
      <x:c r="C55" s="84" t="str">
        <x:v>Resource feasibility</x:v>
      </x:c>
      <x:c r="D55" s="84" t="str">
        <x:v>The assessment shall compare preliminary people, skill, time, funding, infrastructure, contracting, and external-support requirements against forecast availability.</x:v>
      </x:c>
      <x:c r="E55" s="85" t="str">
        <x:v>Must</x:v>
      </x:c>
      <x:c r="F55" s="85" t="str">
        <x:v>3</x:v>
      </x:c>
      <x:c r="G55" s="85" t="str">
        <x:v>Configure</x:v>
      </x:c>
      <x:c r="H55" s="84" t="str">
        <x:v>Assessment, Prioritization, and Approval</x:v>
      </x:c>
      <x:c r="I55" s="84" t="str">
        <x:v>Resource Manager</x:v>
      </x:c>
      <x:c r="J55" s="85" t="str">
        <x:v>Demonstration</x:v>
      </x:c>
      <x:c r="K55" s="85" t="str">
        <x:v>Proposed</x:v>
      </x:c>
      <x:c r="L55" s="84" t="str"/>
      <x:c r="M55" s="84" t="str"/>
      <x:c r="N55" s="84" t="str"/>
      <x:c r="O55" s="84" t="str"/>
      <x:c r="P55" s="84" t="str"/>
      <x:c r="Q55" s="84" t="str"/>
      <x:c r="R55" s="84" t="str"/>
      <x:c r="S55" s="84" t="str"/>
      <x:c r="T55" s="84" t="str"/>
    </x:row>
    <x:row r="56" ht="44" customHeight="1">
      <x:c r="A56" s="83" t="str">
        <x:v>ASM-005</x:v>
      </x:c>
      <x:c r="B56" s="84" t="str">
        <x:v>Assessment, Prioritization, and Approval</x:v>
      </x:c>
      <x:c r="C56" s="84" t="str">
        <x:v>Risk assessment</x:v>
      </x:c>
      <x:c r="D56" s="84" t="str">
        <x:v>The assessment shall capture delivery, operational, technical, security, acquisition, financial, schedule, dependency, and opportunity risks using configurable likelihood and consequence scales.</x:v>
      </x:c>
      <x:c r="E56" s="85" t="str">
        <x:v>Must</x:v>
      </x:c>
      <x:c r="F56" s="85" t="str">
        <x:v>1</x:v>
      </x:c>
      <x:c r="G56" s="85" t="str">
        <x:v>Configure</x:v>
      </x:c>
      <x:c r="H56" s="84" t="str">
        <x:v>Assessment, Prioritization, and Approval</x:v>
      </x:c>
      <x:c r="I56" s="84" t="str">
        <x:v>Risk Manager</x:v>
      </x:c>
      <x:c r="J56" s="85" t="str">
        <x:v>Demonstration</x:v>
      </x:c>
      <x:c r="K56" s="85" t="str">
        <x:v>Proposed</x:v>
      </x:c>
      <x:c r="L56" s="84" t="str"/>
      <x:c r="M56" s="84" t="str"/>
      <x:c r="N56" s="84" t="str"/>
      <x:c r="O56" s="84" t="str"/>
      <x:c r="P56" s="84" t="str"/>
      <x:c r="Q56" s="84" t="str"/>
      <x:c r="R56" s="84" t="str"/>
      <x:c r="S56" s="84" t="str"/>
      <x:c r="T56" s="84" t="str"/>
    </x:row>
    <x:row r="57" ht="44" customHeight="1">
      <x:c r="A57" s="83" t="str">
        <x:v>ASM-006</x:v>
      </x:c>
      <x:c r="B57" s="84" t="str">
        <x:v>Assessment, Prioritization, and Approval</x:v>
      </x:c>
      <x:c r="C57" s="84" t="str">
        <x:v>Urgency and consequence</x:v>
      </x:c>
      <x:c r="D57" s="84" t="str">
        <x:v>The platform shall distinguish urgency from importance and record operational, statutory, fiscal, or reputational consequences if work is delayed or not performed.</x:v>
      </x:c>
      <x:c r="E57" s="85" t="str">
        <x:v>Must</x:v>
      </x:c>
      <x:c r="F57" s="85" t="str">
        <x:v>1</x:v>
      </x:c>
      <x:c r="G57" s="85" t="str">
        <x:v>Configure</x:v>
      </x:c>
      <x:c r="H57" s="84" t="str">
        <x:v>Assessment, Prioritization, and Approval</x:v>
      </x:c>
      <x:c r="I57" s="84" t="str">
        <x:v>Demand Manager</x:v>
      </x:c>
      <x:c r="J57" s="85" t="str">
        <x:v>Demonstration</x:v>
      </x:c>
      <x:c r="K57" s="85" t="str">
        <x:v>Proposed</x:v>
      </x:c>
      <x:c r="L57" s="84" t="str"/>
      <x:c r="M57" s="84" t="str"/>
      <x:c r="N57" s="84" t="str"/>
      <x:c r="O57" s="84" t="str"/>
      <x:c r="P57" s="84" t="str"/>
      <x:c r="Q57" s="84" t="str"/>
      <x:c r="R57" s="84" t="str"/>
      <x:c r="S57" s="84" t="str"/>
      <x:c r="T57" s="84" t="str"/>
    </x:row>
    <x:row r="58" ht="44" customHeight="1">
      <x:c r="A58" s="83" t="str">
        <x:v>ASM-007</x:v>
      </x:c>
      <x:c r="B58" s="84" t="str">
        <x:v>Assessment, Prioritization, and Approval</x:v>
      </x:c>
      <x:c r="C58" s="84" t="str">
        <x:v>Scoring model</x:v>
      </x:c>
      <x:c r="D58" s="84" t="str">
        <x:v>Authorized governance users shall configure weighted scoring models, mandatory gates, tie-breakers, normalization rules, and score bands without source-code changes.</x:v>
      </x:c>
      <x:c r="E58" s="85" t="str">
        <x:v>Must</x:v>
      </x:c>
      <x:c r="F58" s="85" t="str">
        <x:v>1</x:v>
      </x:c>
      <x:c r="G58" s="85" t="str">
        <x:v>Configure</x:v>
      </x:c>
      <x:c r="H58" s="84" t="str">
        <x:v>Assessment, Prioritization, and Approval</x:v>
      </x:c>
      <x:c r="I58" s="84" t="str">
        <x:v>Portfolio Governance Board</x:v>
      </x:c>
      <x:c r="J58" s="85" t="str">
        <x:v>Demonstration</x:v>
      </x:c>
      <x:c r="K58" s="85" t="str">
        <x:v>Proposed</x:v>
      </x:c>
      <x:c r="L58" s="84" t="str"/>
      <x:c r="M58" s="84" t="str"/>
      <x:c r="N58" s="84" t="str"/>
      <x:c r="O58" s="84" t="str"/>
      <x:c r="P58" s="84" t="str"/>
      <x:c r="Q58" s="84" t="str"/>
      <x:c r="R58" s="84" t="str"/>
      <x:c r="S58" s="84" t="str"/>
      <x:c r="T58" s="84" t="str"/>
    </x:row>
    <x:row r="59" ht="44" customHeight="1">
      <x:c r="A59" s="83" t="str">
        <x:v>ASM-008</x:v>
      </x:c>
      <x:c r="B59" s="84" t="str">
        <x:v>Assessment, Prioritization, and Approval</x:v>
      </x:c>
      <x:c r="C59" s="84" t="str">
        <x:v>Recommended scoring baseline</x:v>
      </x:c>
      <x:c r="D59" s="84" t="str">
        <x:v>The initial model shall support mission criticality, strategic alignment, operational impact, urgency, risk reduction, readiness or interoperability contribution, feasibility, and expected value, with weights approved during design.</x:v>
      </x:c>
      <x:c r="E59" s="85" t="str">
        <x:v>Must</x:v>
      </x:c>
      <x:c r="F59" s="85" t="str">
        <x:v>1</x:v>
      </x:c>
      <x:c r="G59" s="85" t="str">
        <x:v>Configure</x:v>
      </x:c>
      <x:c r="H59" s="84" t="str">
        <x:v>Assessment, Prioritization, and Approval</x:v>
      </x:c>
      <x:c r="I59" s="84" t="str">
        <x:v>Portfolio Governance Board</x:v>
      </x:c>
      <x:c r="J59" s="85" t="str">
        <x:v>Demonstration</x:v>
      </x:c>
      <x:c r="K59" s="85" t="str">
        <x:v>Proposed</x:v>
      </x:c>
      <x:c r="L59" s="84" t="str"/>
      <x:c r="M59" s="84" t="str"/>
      <x:c r="N59" s="84" t="str"/>
      <x:c r="O59" s="84" t="str"/>
      <x:c r="P59" s="84" t="str"/>
      <x:c r="Q59" s="84" t="str"/>
      <x:c r="R59" s="84" t="str"/>
      <x:c r="S59" s="84" t="str"/>
      <x:c r="T59" s="84" t="str"/>
    </x:row>
    <x:row r="60" ht="44" customHeight="1">
      <x:c r="A60" s="83" t="str">
        <x:v>ASM-009</x:v>
      </x:c>
      <x:c r="B60" s="84" t="str">
        <x:v>Assessment, Prioritization, and Approval</x:v>
      </x:c>
      <x:c r="C60" s="84" t="str">
        <x:v>Mandatory demand override</x:v>
      </x:c>
      <x:c r="D60" s="84" t="str">
        <x:v>Directed, statutory, safety, cybersecurity, and time-critical demands shall be identifiable as mandatory and shall retain an explanation when ranked outside the normal score order.</x:v>
      </x:c>
      <x:c r="E60" s="85" t="str">
        <x:v>Must</x:v>
      </x:c>
      <x:c r="F60" s="85" t="str">
        <x:v>1</x:v>
      </x:c>
      <x:c r="G60" s="85" t="str">
        <x:v>Configure</x:v>
      </x:c>
      <x:c r="H60" s="84" t="str">
        <x:v>Assessment, Prioritization, and Approval</x:v>
      </x:c>
      <x:c r="I60" s="84" t="str">
        <x:v>Portfolio Governance Board</x:v>
      </x:c>
      <x:c r="J60" s="85" t="str">
        <x:v>Demonstration</x:v>
      </x:c>
      <x:c r="K60" s="85" t="str">
        <x:v>Proposed</x:v>
      </x:c>
      <x:c r="L60" s="84" t="str"/>
      <x:c r="M60" s="84" t="str"/>
      <x:c r="N60" s="84" t="str"/>
      <x:c r="O60" s="84" t="str"/>
      <x:c r="P60" s="84" t="str"/>
      <x:c r="Q60" s="84" t="str"/>
      <x:c r="R60" s="84" t="str"/>
      <x:c r="S60" s="84" t="str"/>
      <x:c r="T60" s="84" t="str"/>
    </x:row>
    <x:row r="61" ht="44" customHeight="1">
      <x:c r="A61" s="83" t="str">
        <x:v>ASM-010</x:v>
      </x:c>
      <x:c r="B61" s="84" t="str">
        <x:v>Assessment, Prioritization, and Approval</x:v>
      </x:c>
      <x:c r="C61" s="84" t="str">
        <x:v>Independent scoring</x:v>
      </x:c>
      <x:c r="D61" s="84" t="str">
        <x:v>The platform shall support multiple assessors, blind or independent scoring where required, aggregation, variance detection, comments, and adjudication.</x:v>
      </x:c>
      <x:c r="E61" s="85" t="str">
        <x:v>Must</x:v>
      </x:c>
      <x:c r="F61" s="85" t="str">
        <x:v>2</x:v>
      </x:c>
      <x:c r="G61" s="85" t="str">
        <x:v>Extend</x:v>
      </x:c>
      <x:c r="H61" s="84" t="str">
        <x:v>Assessment, Prioritization, and Approval</x:v>
      </x:c>
      <x:c r="I61" s="84" t="str">
        <x:v>Demand Manager</x:v>
      </x:c>
      <x:c r="J61" s="85" t="str">
        <x:v>Demonstration</x:v>
      </x:c>
      <x:c r="K61" s="85" t="str">
        <x:v>Proposed</x:v>
      </x:c>
      <x:c r="L61" s="84" t="str"/>
      <x:c r="M61" s="84" t="str"/>
      <x:c r="N61" s="84" t="str"/>
      <x:c r="O61" s="84" t="str"/>
      <x:c r="P61" s="84" t="str"/>
      <x:c r="Q61" s="84" t="str"/>
      <x:c r="R61" s="84" t="str"/>
      <x:c r="S61" s="84" t="str"/>
      <x:c r="T61" s="84" t="str"/>
    </x:row>
    <x:row r="62" ht="44" customHeight="1">
      <x:c r="A62" s="83" t="str">
        <x:v>ASM-011</x:v>
      </x:c>
      <x:c r="B62" s="84" t="str">
        <x:v>Assessment, Prioritization, and Approval</x:v>
      </x:c>
      <x:c r="C62" s="84" t="str">
        <x:v>Portfolio comparison</x:v>
      </x:c>
      <x:c r="D62" s="84" t="str">
        <x:v>Reviewers shall compare candidate demands side by side by alignment, value, risk, cost, resource demand, readiness, dependencies, and confidence.</x:v>
      </x:c>
      <x:c r="E62" s="85" t="str">
        <x:v>Must</x:v>
      </x:c>
      <x:c r="F62" s="85" t="str">
        <x:v>1</x:v>
      </x:c>
      <x:c r="G62" s="85" t="str">
        <x:v>Configure</x:v>
      </x:c>
      <x:c r="H62" s="84" t="str">
        <x:v>Assessment, Prioritization, and Approval</x:v>
      </x:c>
      <x:c r="I62" s="84" t="str">
        <x:v>Portfolio Governance Board</x:v>
      </x:c>
      <x:c r="J62" s="85" t="str">
        <x:v>Demonstration</x:v>
      </x:c>
      <x:c r="K62" s="85" t="str">
        <x:v>Proposed</x:v>
      </x:c>
      <x:c r="L62" s="84" t="str"/>
      <x:c r="M62" s="84" t="str"/>
      <x:c r="N62" s="84" t="str"/>
      <x:c r="O62" s="84" t="str"/>
      <x:c r="P62" s="84" t="str"/>
      <x:c r="Q62" s="84" t="str"/>
      <x:c r="R62" s="84" t="str"/>
      <x:c r="S62" s="84" t="str"/>
      <x:c r="T62" s="84" t="str"/>
    </x:row>
    <x:row r="63" ht="44" customHeight="1">
      <x:c r="A63" s="83" t="str">
        <x:v>ASM-012</x:v>
      </x:c>
      <x:c r="B63" s="84" t="str">
        <x:v>Assessment, Prioritization, and Approval</x:v>
      </x:c>
      <x:c r="C63" s="84" t="str">
        <x:v>Options analysis</x:v>
      </x:c>
      <x:c r="D63" s="84" t="str">
        <x:v>Reviewers shall record alternatives including approve, decline, defer, combine, pilot, re-scope, perform as core work, outsource, or request additional analysis.</x:v>
      </x:c>
      <x:c r="E63" s="85" t="str">
        <x:v>Must</x:v>
      </x:c>
      <x:c r="F63" s="85" t="str">
        <x:v>1</x:v>
      </x:c>
      <x:c r="G63" s="85" t="str">
        <x:v>Configure</x:v>
      </x:c>
      <x:c r="H63" s="84" t="str">
        <x:v>Assessment, Prioritization, and Approval</x:v>
      </x:c>
      <x:c r="I63" s="84" t="str">
        <x:v>Portfolio Governance Board</x:v>
      </x:c>
      <x:c r="J63" s="85" t="str">
        <x:v>Demonstration</x:v>
      </x:c>
      <x:c r="K63" s="85" t="str">
        <x:v>Proposed</x:v>
      </x:c>
      <x:c r="L63" s="84" t="str"/>
      <x:c r="M63" s="84" t="str"/>
      <x:c r="N63" s="84" t="str"/>
      <x:c r="O63" s="84" t="str"/>
      <x:c r="P63" s="84" t="str"/>
      <x:c r="Q63" s="84" t="str"/>
      <x:c r="R63" s="84" t="str"/>
      <x:c r="S63" s="84" t="str"/>
      <x:c r="T63" s="84" t="str"/>
    </x:row>
    <x:row r="64" ht="44" customHeight="1">
      <x:c r="A64" s="83" t="str">
        <x:v>ASM-013</x:v>
      </x:c>
      <x:c r="B64" s="84" t="str">
        <x:v>Assessment, Prioritization, and Approval</x:v>
      </x:c>
      <x:c r="C64" s="84" t="str">
        <x:v>What must stop</x:v>
      </x:c>
      <x:c r="D64" s="84" t="str">
        <x:v>When approving work beyond available capacity, the decision package shall identify work to stop, delay, reduce, or de-scope, or shall document an approved capacity increase.</x:v>
      </x:c>
      <x:c r="E64" s="85" t="str">
        <x:v>Must</x:v>
      </x:c>
      <x:c r="F64" s="85" t="str">
        <x:v>3</x:v>
      </x:c>
      <x:c r="G64" s="85" t="str">
        <x:v>Extend</x:v>
      </x:c>
      <x:c r="H64" s="84" t="str">
        <x:v>Assessment, Prioritization, and Approval</x:v>
      </x:c>
      <x:c r="I64" s="84" t="str">
        <x:v>Portfolio Governance Board</x:v>
      </x:c>
      <x:c r="J64" s="85" t="str">
        <x:v>Demonstration</x:v>
      </x:c>
      <x:c r="K64" s="85" t="str">
        <x:v>Proposed</x:v>
      </x:c>
      <x:c r="L64" s="84" t="str"/>
      <x:c r="M64" s="84" t="str"/>
      <x:c r="N64" s="84" t="str"/>
      <x:c r="O64" s="84" t="str"/>
      <x:c r="P64" s="84" t="str"/>
      <x:c r="Q64" s="84" t="str"/>
      <x:c r="R64" s="84" t="str"/>
      <x:c r="S64" s="84" t="str"/>
      <x:c r="T64" s="84" t="str"/>
    </x:row>
    <x:row r="65" ht="44" customHeight="1">
      <x:c r="A65" s="83" t="str">
        <x:v>ASM-014</x:v>
      </x:c>
      <x:c r="B65" s="84" t="str">
        <x:v>Assessment, Prioritization, and Approval</x:v>
      </x:c>
      <x:c r="C65" s="84" t="str">
        <x:v>Approval workflow</x:v>
      </x:c>
      <x:c r="D65" s="84" t="str">
        <x:v>The platform shall route approvals sequentially or in parallel based on configured authorities and shall support approve, reject, request changes, abstain, delegate, and approve with conditions.</x:v>
      </x:c>
      <x:c r="E65" s="85" t="str">
        <x:v>Must</x:v>
      </x:c>
      <x:c r="F65" s="85" t="str">
        <x:v>1</x:v>
      </x:c>
      <x:c r="G65" s="85" t="str">
        <x:v>Likely OOTB</x:v>
      </x:c>
      <x:c r="H65" s="84" t="str">
        <x:v>Assessment, Prioritization, and Approval</x:v>
      </x:c>
      <x:c r="I65" s="84" t="str">
        <x:v>Workflow Administrator</x:v>
      </x:c>
      <x:c r="J65" s="85" t="str">
        <x:v>Demonstration</x:v>
      </x:c>
      <x:c r="K65" s="85" t="str">
        <x:v>Proposed</x:v>
      </x:c>
      <x:c r="L65" s="84" t="str"/>
      <x:c r="M65" s="84" t="str"/>
      <x:c r="N65" s="84" t="str"/>
      <x:c r="O65" s="84" t="str"/>
      <x:c r="P65" s="84" t="str"/>
      <x:c r="Q65" s="84" t="str"/>
      <x:c r="R65" s="84" t="str"/>
      <x:c r="S65" s="84" t="str"/>
      <x:c r="T65" s="84" t="str"/>
    </x:row>
    <x:row r="66" ht="44" customHeight="1">
      <x:c r="A66" s="83" t="str">
        <x:v>ASM-015</x:v>
      </x:c>
      <x:c r="B66" s="84" t="str">
        <x:v>Assessment, Prioritization, and Approval</x:v>
      </x:c>
      <x:c r="C66" s="84" t="str">
        <x:v>Decision package</x:v>
      </x:c>
      <x:c r="D66" s="84" t="str">
        <x:v>The platform shall generate a decision-ready package containing the demand summary, alignment, score, alternatives, resource and cost estimates, risks, dependencies, stakeholder views, and staff recommendation.</x:v>
      </x:c>
      <x:c r="E66" s="85" t="str">
        <x:v>Must</x:v>
      </x:c>
      <x:c r="F66" s="85" t="str">
        <x:v>2</x:v>
      </x:c>
      <x:c r="G66" s="85" t="str">
        <x:v>Extend</x:v>
      </x:c>
      <x:c r="H66" s="84" t="str">
        <x:v>Assessment, Prioritization, and Approval</x:v>
      </x:c>
      <x:c r="I66" s="84" t="str">
        <x:v>Demand Manager</x:v>
      </x:c>
      <x:c r="J66" s="85" t="str">
        <x:v>Demonstration</x:v>
      </x:c>
      <x:c r="K66" s="85" t="str">
        <x:v>Proposed</x:v>
      </x:c>
      <x:c r="L66" s="84" t="str"/>
      <x:c r="M66" s="84" t="str"/>
      <x:c r="N66" s="84" t="str"/>
      <x:c r="O66" s="84" t="str"/>
      <x:c r="P66" s="84" t="str"/>
      <x:c r="Q66" s="84" t="str"/>
      <x:c r="R66" s="84" t="str"/>
      <x:c r="S66" s="84" t="str"/>
      <x:c r="T66" s="84" t="str"/>
    </x:row>
    <x:row r="67" ht="44" customHeight="1">
      <x:c r="A67" s="83" t="str">
        <x:v>ASM-016</x:v>
      </x:c>
      <x:c r="B67" s="84" t="str">
        <x:v>Assessment, Prioritization, and Approval</x:v>
      </x:c>
      <x:c r="C67" s="84" t="str">
        <x:v>Decision conditions</x:v>
      </x:c>
      <x:c r="D67" s="84" t="str">
        <x:v>Approved conditions shall become trackable actions, constraints, milestones, or controls on the resulting project or work item.</x:v>
      </x:c>
      <x:c r="E67" s="85" t="str">
        <x:v>Must</x:v>
      </x:c>
      <x:c r="F67" s="85" t="str">
        <x:v>2</x:v>
      </x:c>
      <x:c r="G67" s="85" t="str">
        <x:v>Configure</x:v>
      </x:c>
      <x:c r="H67" s="84" t="str">
        <x:v>Assessment, Prioritization, and Approval</x:v>
      </x:c>
      <x:c r="I67" s="84" t="str">
        <x:v>Project Manager</x:v>
      </x:c>
      <x:c r="J67" s="85" t="str">
        <x:v>Demonstration</x:v>
      </x:c>
      <x:c r="K67" s="85" t="str">
        <x:v>Proposed</x:v>
      </x:c>
      <x:c r="L67" s="84" t="str"/>
      <x:c r="M67" s="84" t="str"/>
      <x:c r="N67" s="84" t="str"/>
      <x:c r="O67" s="84" t="str"/>
      <x:c r="P67" s="84" t="str"/>
      <x:c r="Q67" s="84" t="str"/>
      <x:c r="R67" s="84" t="str"/>
      <x:c r="S67" s="84" t="str"/>
      <x:c r="T67" s="84" t="str"/>
    </x:row>
    <x:row r="68" ht="44" customHeight="1">
      <x:c r="A68" s="83" t="str">
        <x:v>ASM-017</x:v>
      </x:c>
      <x:c r="B68" s="84" t="str">
        <x:v>Assessment, Prioritization, and Approval</x:v>
      </x:c>
      <x:c r="C68" s="84" t="str">
        <x:v>Deferred review</x:v>
      </x:c>
      <x:c r="D68" s="84" t="str">
        <x:v>Deferred demands shall carry a reason, reconsideration trigger or date, owner, and refreshed resource or mission assumptions at the next review.</x:v>
      </x:c>
      <x:c r="E68" s="85" t="str">
        <x:v>Must</x:v>
      </x:c>
      <x:c r="F68" s="85" t="str">
        <x:v>1</x:v>
      </x:c>
      <x:c r="G68" s="85" t="str">
        <x:v>Configure</x:v>
      </x:c>
      <x:c r="H68" s="84" t="str">
        <x:v>Assessment, Prioritization, and Approval</x:v>
      </x:c>
      <x:c r="I68" s="84" t="str">
        <x:v>Demand Manager</x:v>
      </x:c>
      <x:c r="J68" s="85" t="str">
        <x:v>Demonstration</x:v>
      </x:c>
      <x:c r="K68" s="85" t="str">
        <x:v>Proposed</x:v>
      </x:c>
      <x:c r="L68" s="84" t="str"/>
      <x:c r="M68" s="84" t="str"/>
      <x:c r="N68" s="84" t="str"/>
      <x:c r="O68" s="84" t="str"/>
      <x:c r="P68" s="84" t="str"/>
      <x:c r="Q68" s="84" t="str"/>
      <x:c r="R68" s="84" t="str"/>
      <x:c r="S68" s="84" t="str"/>
      <x:c r="T68" s="84" t="str"/>
    </x:row>
    <x:row r="69" ht="44" customHeight="1">
      <x:c r="A69" s="83" t="str">
        <x:v>ASM-018</x:v>
      </x:c>
      <x:c r="B69" s="84" t="str">
        <x:v>Assessment, Prioritization, and Approval</x:v>
      </x:c>
      <x:c r="C69" s="84" t="str">
        <x:v>Conversion to execution</x:v>
      </x:c>
      <x:c r="D69" s="84" t="str">
        <x:v>An approved demand shall create or link to a project, program, recurring work package, or portfolio epic without rekeying approved data and shall preserve demand-to-delivery traceability.</x:v>
      </x:c>
      <x:c r="E69" s="85" t="str">
        <x:v>Must</x:v>
      </x:c>
      <x:c r="F69" s="85" t="str">
        <x:v>1</x:v>
      </x:c>
      <x:c r="G69" s="85" t="str">
        <x:v>Likely OOTB</x:v>
      </x:c>
      <x:c r="H69" s="84" t="str">
        <x:v>Assessment, Prioritization, and Approval</x:v>
      </x:c>
      <x:c r="I69" s="84" t="str">
        <x:v>Portfolio Manager</x:v>
      </x:c>
      <x:c r="J69" s="85" t="str">
        <x:v>Demonstration</x:v>
      </x:c>
      <x:c r="K69" s="85" t="str">
        <x:v>Proposed</x:v>
      </x:c>
      <x:c r="L69" s="84" t="str"/>
      <x:c r="M69" s="84" t="str"/>
      <x:c r="N69" s="84" t="str"/>
      <x:c r="O69" s="84" t="str"/>
      <x:c r="P69" s="84" t="str"/>
      <x:c r="Q69" s="84" t="str"/>
      <x:c r="R69" s="84" t="str"/>
      <x:c r="S69" s="84" t="str"/>
      <x:c r="T69" s="84" t="str"/>
    </x:row>
    <x:row r="70" ht="44" customHeight="1">
      <x:c r="A70" s="83" t="str">
        <x:v>PFM-001</x:v>
      </x:c>
      <x:c r="B70" s="84" t="str">
        <x:v>Portfolio and Core-Function Management</x:v>
      </x:c>
      <x:c r="C70" s="84" t="str">
        <x:v>Portfolio hierarchy</x:v>
      </x:c>
      <x:c r="D70" s="84" t="str">
        <x:v>The platform shall support the DDC5I enterprise portfolio, six division portfolios, subordinate portfolios, programs, projects, products, services, and core-function work packages.</x:v>
      </x:c>
      <x:c r="E70" s="85" t="str">
        <x:v>Must</x:v>
      </x:c>
      <x:c r="F70" s="85" t="str">
        <x:v>1</x:v>
      </x:c>
      <x:c r="G70" s="85" t="str">
        <x:v>Configure</x:v>
      </x:c>
      <x:c r="H70" s="84" t="str">
        <x:v>Portfolio and Core-Function Management</x:v>
      </x:c>
      <x:c r="I70" s="84" t="str">
        <x:v>DDC5I Portfolio Owner</x:v>
      </x:c>
      <x:c r="J70" s="85" t="str">
        <x:v>Demonstration</x:v>
      </x:c>
      <x:c r="K70" s="85" t="str">
        <x:v>Proposed</x:v>
      </x:c>
      <x:c r="L70" s="84" t="str"/>
      <x:c r="M70" s="84" t="str"/>
      <x:c r="N70" s="84" t="str"/>
      <x:c r="O70" s="84" t="str"/>
      <x:c r="P70" s="84" t="str"/>
      <x:c r="Q70" s="84" t="str"/>
      <x:c r="R70" s="84" t="str"/>
      <x:c r="S70" s="84" t="str"/>
      <x:c r="T70" s="84" t="str"/>
    </x:row>
    <x:row r="71" ht="44" customHeight="1">
      <x:c r="A71" s="83" t="str">
        <x:v>PFM-002</x:v>
      </x:c>
      <x:c r="B71" s="84" t="str">
        <x:v>Portfolio and Core-Function Management</x:v>
      </x:c>
      <x:c r="C71" s="84" t="str">
        <x:v>Portfolio inventory</x:v>
      </x:c>
      <x:c r="D71" s="84" t="str">
        <x:v>Leaders shall view all proposed, approved, active, on-hold, completed, canceled, and archived work, including non-project core functions and unfunded requirements.</x:v>
      </x:c>
      <x:c r="E71" s="85" t="str">
        <x:v>Must</x:v>
      </x:c>
      <x:c r="F71" s="85" t="str">
        <x:v>1</x:v>
      </x:c>
      <x:c r="G71" s="85" t="str">
        <x:v>Configure</x:v>
      </x:c>
      <x:c r="H71" s="84" t="str">
        <x:v>Portfolio and Core-Function Management</x:v>
      </x:c>
      <x:c r="I71" s="84" t="str">
        <x:v>DDC5I Portfolio Owner</x:v>
      </x:c>
      <x:c r="J71" s="85" t="str">
        <x:v>Demonstration</x:v>
      </x:c>
      <x:c r="K71" s="85" t="str">
        <x:v>Proposed</x:v>
      </x:c>
      <x:c r="L71" s="84" t="str"/>
      <x:c r="M71" s="84" t="str"/>
      <x:c r="N71" s="84" t="str"/>
      <x:c r="O71" s="84" t="str"/>
      <x:c r="P71" s="84" t="str"/>
      <x:c r="Q71" s="84" t="str"/>
      <x:c r="R71" s="84" t="str"/>
      <x:c r="S71" s="84" t="str"/>
      <x:c r="T71" s="84" t="str"/>
    </x:row>
    <x:row r="72" ht="44" customHeight="1">
      <x:c r="A72" s="83" t="str">
        <x:v>PFM-003</x:v>
      </x:c>
      <x:c r="B72" s="84" t="str">
        <x:v>Portfolio and Core-Function Management</x:v>
      </x:c>
      <x:c r="C72" s="84" t="str">
        <x:v>Named and core work distinction</x:v>
      </x:c>
      <x:c r="D72" s="84" t="str">
        <x:v>The platform shall distinguish named projects from recurring core functions while enabling both to compete for and report the same constrained resources.</x:v>
      </x:c>
      <x:c r="E72" s="85" t="str">
        <x:v>Must</x:v>
      </x:c>
      <x:c r="F72" s="85" t="str">
        <x:v>1</x:v>
      </x:c>
      <x:c r="G72" s="85" t="str">
        <x:v>Extend</x:v>
      </x:c>
      <x:c r="H72" s="84" t="str">
        <x:v>Portfolio and Core-Function Management</x:v>
      </x:c>
      <x:c r="I72" s="84" t="str">
        <x:v>Division Portfolio Manager</x:v>
      </x:c>
      <x:c r="J72" s="85" t="str">
        <x:v>Demonstration</x:v>
      </x:c>
      <x:c r="K72" s="85" t="str">
        <x:v>Proposed</x:v>
      </x:c>
      <x:c r="L72" s="84" t="str"/>
      <x:c r="M72" s="84" t="str"/>
      <x:c r="N72" s="84" t="str"/>
      <x:c r="O72" s="84" t="str"/>
      <x:c r="P72" s="84" t="str"/>
      <x:c r="Q72" s="84" t="str"/>
      <x:c r="R72" s="84" t="str"/>
      <x:c r="S72" s="84" t="str"/>
      <x:c r="T72" s="84" t="str"/>
    </x:row>
    <x:row r="73" ht="44" customHeight="1">
      <x:c r="A73" s="83" t="str">
        <x:v>PFM-004</x:v>
      </x:c>
      <x:c r="B73" s="84" t="str">
        <x:v>Portfolio and Core-Function Management</x:v>
      </x:c>
      <x:c r="C73" s="84" t="str">
        <x:v>Roadmaps</x:v>
      </x:c>
      <x:c r="D73" s="84" t="str">
        <x:v>Users shall create time-phased roadmaps by enterprise, division, mission, capability, customer, product, program, and strategic objective.</x:v>
      </x:c>
      <x:c r="E73" s="85" t="str">
        <x:v>Must</x:v>
      </x:c>
      <x:c r="F73" s="85" t="str">
        <x:v>1</x:v>
      </x:c>
      <x:c r="G73" s="85" t="str">
        <x:v>Likely OOTB</x:v>
      </x:c>
      <x:c r="H73" s="84" t="str">
        <x:v>Portfolio and Core-Function Management</x:v>
      </x:c>
      <x:c r="I73" s="84" t="str">
        <x:v>Portfolio Manager</x:v>
      </x:c>
      <x:c r="J73" s="85" t="str">
        <x:v>Demonstration</x:v>
      </x:c>
      <x:c r="K73" s="85" t="str">
        <x:v>Proposed</x:v>
      </x:c>
      <x:c r="L73" s="84" t="str"/>
      <x:c r="M73" s="84" t="str"/>
      <x:c r="N73" s="84" t="str"/>
      <x:c r="O73" s="84" t="str"/>
      <x:c r="P73" s="84" t="str"/>
      <x:c r="Q73" s="84" t="str"/>
      <x:c r="R73" s="84" t="str"/>
      <x:c r="S73" s="84" t="str"/>
      <x:c r="T73" s="84" t="str"/>
    </x:row>
    <x:row r="74" ht="44" customHeight="1">
      <x:c r="A74" s="83" t="str">
        <x:v>PFM-005</x:v>
      </x:c>
      <x:c r="B74" s="84" t="str">
        <x:v>Portfolio and Core-Function Management</x:v>
      </x:c>
      <x:c r="C74" s="84" t="str">
        <x:v>Portfolio health</x:v>
      </x:c>
      <x:c r="D74" s="84" t="str">
        <x:v>The platform shall calculate transparent portfolio health using configurable schedule, cost, scope, resource, risk, dependency, benefit, data-quality, milestone, and reporting-currency thresholds.</x:v>
      </x:c>
      <x:c r="E74" s="85" t="str">
        <x:v>Must</x:v>
      </x:c>
      <x:c r="F74" s="85" t="str">
        <x:v>1</x:v>
      </x:c>
      <x:c r="G74" s="85" t="str">
        <x:v>Configure</x:v>
      </x:c>
      <x:c r="H74" s="84" t="str">
        <x:v>Portfolio and Core-Function Management</x:v>
      </x:c>
      <x:c r="I74" s="84" t="str">
        <x:v>Portfolio Manager</x:v>
      </x:c>
      <x:c r="J74" s="85" t="str">
        <x:v>Demonstration</x:v>
      </x:c>
      <x:c r="K74" s="85" t="str">
        <x:v>Proposed</x:v>
      </x:c>
      <x:c r="L74" s="84" t="str"/>
      <x:c r="M74" s="84" t="str"/>
      <x:c r="N74" s="84" t="str"/>
      <x:c r="O74" s="84" t="str"/>
      <x:c r="P74" s="84" t="str"/>
      <x:c r="Q74" s="84" t="str"/>
      <x:c r="R74" s="84" t="str"/>
      <x:c r="S74" s="84" t="str"/>
      <x:c r="T74" s="84" t="str"/>
    </x:row>
    <x:row r="75" ht="44" customHeight="1">
      <x:c r="A75" s="83" t="str">
        <x:v>PFM-006</x:v>
      </x:c>
      <x:c r="B75" s="84" t="str">
        <x:v>Portfolio and Core-Function Management</x:v>
      </x:c>
      <x:c r="C75" s="84" t="str">
        <x:v>Health override</x:v>
      </x:c>
      <x:c r="D75" s="84" t="str">
        <x:v>Authorized owners may override calculated health only with rationale, duration, and an audit record showing the calculated and reported states.</x:v>
      </x:c>
      <x:c r="E75" s="85" t="str">
        <x:v>Must</x:v>
      </x:c>
      <x:c r="F75" s="85" t="str">
        <x:v>1</x:v>
      </x:c>
      <x:c r="G75" s="85" t="str">
        <x:v>Configure</x:v>
      </x:c>
      <x:c r="H75" s="84" t="str">
        <x:v>Portfolio and Core-Function Management</x:v>
      </x:c>
      <x:c r="I75" s="84" t="str">
        <x:v>Division Chief</x:v>
      </x:c>
      <x:c r="J75" s="85" t="str">
        <x:v>Demonstration</x:v>
      </x:c>
      <x:c r="K75" s="85" t="str">
        <x:v>Proposed</x:v>
      </x:c>
      <x:c r="L75" s="84" t="str"/>
      <x:c r="M75" s="84" t="str"/>
      <x:c r="N75" s="84" t="str"/>
      <x:c r="O75" s="84" t="str"/>
      <x:c r="P75" s="84" t="str"/>
      <x:c r="Q75" s="84" t="str"/>
      <x:c r="R75" s="84" t="str"/>
      <x:c r="S75" s="84" t="str"/>
      <x:c r="T75" s="84" t="str"/>
    </x:row>
    <x:row r="76" ht="44" customHeight="1">
      <x:c r="A76" s="83" t="str">
        <x:v>PFM-007</x:v>
      </x:c>
      <x:c r="B76" s="84" t="str">
        <x:v>Portfolio and Core-Function Management</x:v>
      </x:c>
      <x:c r="C76" s="84" t="str">
        <x:v>Interdependency map</x:v>
      </x:c>
      <x:c r="D76" s="84" t="str">
        <x:v>Users shall visualize cross-division and external dependencies among missions, core functions, projects, milestones, resources, systems, data products, standards, decisions, and stakeholders.</x:v>
      </x:c>
      <x:c r="E76" s="85" t="str">
        <x:v>Must</x:v>
      </x:c>
      <x:c r="F76" s="85" t="str">
        <x:v>3</x:v>
      </x:c>
      <x:c r="G76" s="85" t="str">
        <x:v>Extend</x:v>
      </x:c>
      <x:c r="H76" s="84" t="str">
        <x:v>Portfolio and Core-Function Management</x:v>
      </x:c>
      <x:c r="I76" s="84" t="str">
        <x:v>Enterprise Architect</x:v>
      </x:c>
      <x:c r="J76" s="85" t="str">
        <x:v>Demonstration</x:v>
      </x:c>
      <x:c r="K76" s="85" t="str">
        <x:v>Proposed</x:v>
      </x:c>
      <x:c r="L76" s="84" t="str"/>
      <x:c r="M76" s="84" t="str"/>
      <x:c r="N76" s="84" t="str"/>
      <x:c r="O76" s="84" t="str"/>
      <x:c r="P76" s="84" t="str"/>
      <x:c r="Q76" s="84" t="str"/>
      <x:c r="R76" s="84" t="str"/>
      <x:c r="S76" s="84" t="str"/>
      <x:c r="T76" s="84" t="str"/>
    </x:row>
    <x:row r="77" ht="44" customHeight="1">
      <x:c r="A77" s="83" t="str">
        <x:v>PFM-008</x:v>
      </x:c>
      <x:c r="B77" s="84" t="str">
        <x:v>Portfolio and Core-Function Management</x:v>
      </x:c>
      <x:c r="C77" s="84" t="str">
        <x:v>Critical path across projects</x:v>
      </x:c>
      <x:c r="D77" s="84" t="str">
        <x:v>The platform shall identify portfolio-level milestones and dependencies whose delay would affect multiple projects, divisions, or mission outcomes.</x:v>
      </x:c>
      <x:c r="E77" s="85" t="str">
        <x:v>Must</x:v>
      </x:c>
      <x:c r="F77" s="85" t="str">
        <x:v>4</x:v>
      </x:c>
      <x:c r="G77" s="85" t="str">
        <x:v>Extend</x:v>
      </x:c>
      <x:c r="H77" s="84" t="str">
        <x:v>Portfolio and Core-Function Management</x:v>
      </x:c>
      <x:c r="I77" s="84" t="str">
        <x:v>Portfolio Manager</x:v>
      </x:c>
      <x:c r="J77" s="85" t="str">
        <x:v>Demonstration</x:v>
      </x:c>
      <x:c r="K77" s="85" t="str">
        <x:v>Proposed</x:v>
      </x:c>
      <x:c r="L77" s="84" t="str"/>
      <x:c r="M77" s="84" t="str"/>
      <x:c r="N77" s="84" t="str"/>
      <x:c r="O77" s="84" t="str"/>
      <x:c r="P77" s="84" t="str"/>
      <x:c r="Q77" s="84" t="str"/>
      <x:c r="R77" s="84" t="str"/>
      <x:c r="S77" s="84" t="str"/>
      <x:c r="T77" s="84" t="str"/>
    </x:row>
    <x:row r="78" ht="44" customHeight="1">
      <x:c r="A78" s="83" t="str">
        <x:v>PFM-009</x:v>
      </x:c>
      <x:c r="B78" s="84" t="str">
        <x:v>Portfolio and Core-Function Management</x:v>
      </x:c>
      <x:c r="C78" s="84" t="str">
        <x:v>Roadblock management</x:v>
      </x:c>
      <x:c r="D78" s="84" t="str">
        <x:v>Users shall record roadblocks with owner, severity, impacted work, decision needed, target resolution, escalation level, aging, and resolution evidence.</x:v>
      </x:c>
      <x:c r="E78" s="85" t="str">
        <x:v>Must</x:v>
      </x:c>
      <x:c r="F78" s="85" t="str">
        <x:v>2</x:v>
      </x:c>
      <x:c r="G78" s="85" t="str">
        <x:v>Configure</x:v>
      </x:c>
      <x:c r="H78" s="84" t="str">
        <x:v>Portfolio and Core-Function Management</x:v>
      </x:c>
      <x:c r="I78" s="84" t="str">
        <x:v>Project Manager</x:v>
      </x:c>
      <x:c r="J78" s="85" t="str">
        <x:v>Demonstration</x:v>
      </x:c>
      <x:c r="K78" s="85" t="str">
        <x:v>Proposed</x:v>
      </x:c>
      <x:c r="L78" s="84" t="str"/>
      <x:c r="M78" s="84" t="str"/>
      <x:c r="N78" s="84" t="str"/>
      <x:c r="O78" s="84" t="str"/>
      <x:c r="P78" s="84" t="str"/>
      <x:c r="Q78" s="84" t="str"/>
      <x:c r="R78" s="84" t="str"/>
      <x:c r="S78" s="84" t="str"/>
      <x:c r="T78" s="84" t="str"/>
    </x:row>
    <x:row r="79" ht="44" customHeight="1">
      <x:c r="A79" s="83" t="str">
        <x:v>PFM-010</x:v>
      </x:c>
      <x:c r="B79" s="84" t="str">
        <x:v>Portfolio and Core-Function Management</x:v>
      </x:c>
      <x:c r="C79" s="84" t="str">
        <x:v>Strategic balance</x:v>
      </x:c>
      <x:c r="D79" s="84" t="str">
        <x:v>The platform shall show investment balance across mission areas, divisions, demand types, time horizons, risk levels, beneficiaries, and modernization versus sustainment.</x:v>
      </x:c>
      <x:c r="E79" s="85" t="str">
        <x:v>Must</x:v>
      </x:c>
      <x:c r="F79" s="85" t="str">
        <x:v>3</x:v>
      </x:c>
      <x:c r="G79" s="85" t="str">
        <x:v>Configure</x:v>
      </x:c>
      <x:c r="H79" s="84" t="str">
        <x:v>Portfolio and Core-Function Management</x:v>
      </x:c>
      <x:c r="I79" s="84" t="str">
        <x:v>DDC5I Portfolio Owner</x:v>
      </x:c>
      <x:c r="J79" s="85" t="str">
        <x:v>Demonstration</x:v>
      </x:c>
      <x:c r="K79" s="85" t="str">
        <x:v>Proposed</x:v>
      </x:c>
      <x:c r="L79" s="84" t="str"/>
      <x:c r="M79" s="84" t="str"/>
      <x:c r="N79" s="84" t="str"/>
      <x:c r="O79" s="84" t="str"/>
      <x:c r="P79" s="84" t="str"/>
      <x:c r="Q79" s="84" t="str"/>
      <x:c r="R79" s="84" t="str"/>
      <x:c r="S79" s="84" t="str"/>
      <x:c r="T79" s="84" t="str"/>
    </x:row>
    <x:row r="80" ht="44" customHeight="1">
      <x:c r="A80" s="83" t="str">
        <x:v>PFM-011</x:v>
      </x:c>
      <x:c r="B80" s="84" t="str">
        <x:v>Portfolio and Core-Function Management</x:v>
      </x:c>
      <x:c r="C80" s="84" t="str">
        <x:v>Portfolio baseline</x:v>
      </x:c>
      <x:c r="D80" s="84" t="str">
        <x:v>Authorized users shall create time-stamped portfolio baselines covering scope, priority, schedule, resources, costs, benefits, and assumptions.</x:v>
      </x:c>
      <x:c r="E80" s="85" t="str">
        <x:v>Must</x:v>
      </x:c>
      <x:c r="F80" s="85" t="str">
        <x:v>3</x:v>
      </x:c>
      <x:c r="G80" s="85" t="str">
        <x:v>Configure</x:v>
      </x:c>
      <x:c r="H80" s="84" t="str">
        <x:v>Portfolio and Core-Function Management</x:v>
      </x:c>
      <x:c r="I80" s="84" t="str">
        <x:v>Portfolio Manager</x:v>
      </x:c>
      <x:c r="J80" s="85" t="str">
        <x:v>Demonstration</x:v>
      </x:c>
      <x:c r="K80" s="85" t="str">
        <x:v>Proposed</x:v>
      </x:c>
      <x:c r="L80" s="84" t="str"/>
      <x:c r="M80" s="84" t="str"/>
      <x:c r="N80" s="84" t="str"/>
      <x:c r="O80" s="84" t="str"/>
      <x:c r="P80" s="84" t="str"/>
      <x:c r="Q80" s="84" t="str"/>
      <x:c r="R80" s="84" t="str"/>
      <x:c r="S80" s="84" t="str"/>
      <x:c r="T80" s="84" t="str"/>
    </x:row>
    <x:row r="81" ht="44" customHeight="1">
      <x:c r="A81" s="83" t="str">
        <x:v>PFM-012</x:v>
      </x:c>
      <x:c r="B81" s="84" t="str">
        <x:v>Portfolio and Core-Function Management</x:v>
      </x:c>
      <x:c r="C81" s="84" t="str">
        <x:v>Change history</x:v>
      </x:c>
      <x:c r="D81" s="84" t="str">
        <x:v>The platform shall show what changed from each portfolio baseline, who authorized the change, and the resulting impacts.</x:v>
      </x:c>
      <x:c r="E81" s="85" t="str">
        <x:v>Must</x:v>
      </x:c>
      <x:c r="F81" s="85" t="str">
        <x:v>3</x:v>
      </x:c>
      <x:c r="G81" s="85" t="str">
        <x:v>Configure</x:v>
      </x:c>
      <x:c r="H81" s="84" t="str">
        <x:v>Portfolio and Core-Function Management</x:v>
      </x:c>
      <x:c r="I81" s="84" t="str">
        <x:v>Portfolio Manager</x:v>
      </x:c>
      <x:c r="J81" s="85" t="str">
        <x:v>Demonstration</x:v>
      </x:c>
      <x:c r="K81" s="85" t="str">
        <x:v>Proposed</x:v>
      </x:c>
      <x:c r="L81" s="84" t="str"/>
      <x:c r="M81" s="84" t="str"/>
      <x:c r="N81" s="84" t="str"/>
      <x:c r="O81" s="84" t="str"/>
      <x:c r="P81" s="84" t="str"/>
      <x:c r="Q81" s="84" t="str"/>
      <x:c r="R81" s="84" t="str"/>
      <x:c r="S81" s="84" t="str"/>
      <x:c r="T81" s="84" t="str"/>
    </x:row>
    <x:row r="82" ht="44" customHeight="1">
      <x:c r="A82" s="83" t="str">
        <x:v>PFM-013</x:v>
      </x:c>
      <x:c r="B82" s="84" t="str">
        <x:v>Portfolio and Core-Function Management</x:v>
      </x:c>
      <x:c r="C82" s="84" t="str">
        <x:v>Unfunded requirement management</x:v>
      </x:c>
      <x:c r="D82" s="84" t="str">
        <x:v>The platform shall maintain an unfunded requirements list with priority, minimum viable funding, full requirement, consequence, decision window, and sponsor.</x:v>
      </x:c>
      <x:c r="E82" s="85" t="str">
        <x:v>Must</x:v>
      </x:c>
      <x:c r="F82" s="85" t="str">
        <x:v>3</x:v>
      </x:c>
      <x:c r="G82" s="85" t="str">
        <x:v>Configure</x:v>
      </x:c>
      <x:c r="H82" s="84" t="str">
        <x:v>Portfolio and Core-Function Management</x:v>
      </x:c>
      <x:c r="I82" s="84" t="str">
        <x:v>Financial Manager</x:v>
      </x:c>
      <x:c r="J82" s="85" t="str">
        <x:v>Demonstration</x:v>
      </x:c>
      <x:c r="K82" s="85" t="str">
        <x:v>Proposed</x:v>
      </x:c>
      <x:c r="L82" s="84" t="str"/>
      <x:c r="M82" s="84" t="str"/>
      <x:c r="N82" s="84" t="str"/>
      <x:c r="O82" s="84" t="str"/>
      <x:c r="P82" s="84" t="str"/>
      <x:c r="Q82" s="84" t="str"/>
      <x:c r="R82" s="84" t="str"/>
      <x:c r="S82" s="84" t="str"/>
      <x:c r="T82" s="84" t="str"/>
    </x:row>
    <x:row r="83" ht="44" customHeight="1">
      <x:c r="A83" s="83" t="str">
        <x:v>PFM-014</x:v>
      </x:c>
      <x:c r="B83" s="84" t="str">
        <x:v>Portfolio and Core-Function Management</x:v>
      </x:c>
      <x:c r="C83" s="84" t="str">
        <x:v>Stop-start-continue analysis</x:v>
      </x:c>
      <x:c r="D83" s="84" t="str">
        <x:v>Leaders shall identify work to start, stop, continue, accelerate, defer, or merge and see the forecast resource and mission consequences before approval.</x:v>
      </x:c>
      <x:c r="E83" s="85" t="str">
        <x:v>Must</x:v>
      </x:c>
      <x:c r="F83" s="85" t="str">
        <x:v>4</x:v>
      </x:c>
      <x:c r="G83" s="85" t="str">
        <x:v>Extend</x:v>
      </x:c>
      <x:c r="H83" s="84" t="str">
        <x:v>Portfolio and Core-Function Management</x:v>
      </x:c>
      <x:c r="I83" s="84" t="str">
        <x:v>Portfolio Governance Board</x:v>
      </x:c>
      <x:c r="J83" s="85" t="str">
        <x:v>Demonstration</x:v>
      </x:c>
      <x:c r="K83" s="85" t="str">
        <x:v>Proposed</x:v>
      </x:c>
      <x:c r="L83" s="84" t="str"/>
      <x:c r="M83" s="84" t="str"/>
      <x:c r="N83" s="84" t="str"/>
      <x:c r="O83" s="84" t="str"/>
      <x:c r="P83" s="84" t="str"/>
      <x:c r="Q83" s="84" t="str"/>
      <x:c r="R83" s="84" t="str"/>
      <x:c r="S83" s="84" t="str"/>
      <x:c r="T83" s="84" t="str"/>
    </x:row>
    <x:row r="84" ht="44" customHeight="1">
      <x:c r="A84" s="83" t="str">
        <x:v>PFM-015</x:v>
      </x:c>
      <x:c r="B84" s="84" t="str">
        <x:v>Portfolio and Core-Function Management</x:v>
      </x:c>
      <x:c r="C84" s="84" t="str">
        <x:v>Portfolio review workspace</x:v>
      </x:c>
      <x:c r="D84" s="84" t="str">
        <x:v>A portfolio review workspace shall combine decisions due, changes since last review, health exceptions, resource gaps, financial variances, benefits at risk, and required leader actions.</x:v>
      </x:c>
      <x:c r="E84" s="85" t="str">
        <x:v>Must</x:v>
      </x:c>
      <x:c r="F84" s="85" t="str">
        <x:v>2</x:v>
      </x:c>
      <x:c r="G84" s="85" t="str">
        <x:v>Configure</x:v>
      </x:c>
      <x:c r="H84" s="84" t="str">
        <x:v>Portfolio and Core-Function Management</x:v>
      </x:c>
      <x:c r="I84" s="84" t="str">
        <x:v>DDC5I Portfolio Owner</x:v>
      </x:c>
      <x:c r="J84" s="85" t="str">
        <x:v>Demonstration</x:v>
      </x:c>
      <x:c r="K84" s="85" t="str">
        <x:v>Proposed</x:v>
      </x:c>
      <x:c r="L84" s="84" t="str"/>
      <x:c r="M84" s="84" t="str"/>
      <x:c r="N84" s="84" t="str"/>
      <x:c r="O84" s="84" t="str"/>
      <x:c r="P84" s="84" t="str"/>
      <x:c r="Q84" s="84" t="str"/>
      <x:c r="R84" s="84" t="str"/>
      <x:c r="S84" s="84" t="str"/>
      <x:c r="T84" s="84" t="str"/>
    </x:row>
    <x:row r="85" ht="44" customHeight="1">
      <x:c r="A85" s="83" t="str">
        <x:v>PFM-016</x:v>
      </x:c>
      <x:c r="B85" s="84" t="str">
        <x:v>Portfolio and Core-Function Management</x:v>
      </x:c>
      <x:c r="C85" s="84" t="str">
        <x:v>Cross-division collaboration</x:v>
      </x:c>
      <x:c r="D85" s="84" t="str">
        <x:v>A project may have one lead division and multiple supporting divisions, with effort, costs, deliverables, risks, and contributions attributable to each.</x:v>
      </x:c>
      <x:c r="E85" s="85" t="str">
        <x:v>Must</x:v>
      </x:c>
      <x:c r="F85" s="85" t="str">
        <x:v>2</x:v>
      </x:c>
      <x:c r="G85" s="85" t="str">
        <x:v>Extend</x:v>
      </x:c>
      <x:c r="H85" s="84" t="str">
        <x:v>Portfolio and Core-Function Management</x:v>
      </x:c>
      <x:c r="I85" s="84" t="str">
        <x:v>Project Manager</x:v>
      </x:c>
      <x:c r="J85" s="85" t="str">
        <x:v>Demonstration</x:v>
      </x:c>
      <x:c r="K85" s="85" t="str">
        <x:v>Proposed</x:v>
      </x:c>
      <x:c r="L85" s="84" t="str"/>
      <x:c r="M85" s="84" t="str"/>
      <x:c r="N85" s="84" t="str"/>
      <x:c r="O85" s="84" t="str"/>
      <x:c r="P85" s="84" t="str"/>
      <x:c r="Q85" s="84" t="str"/>
      <x:c r="R85" s="84" t="str"/>
      <x:c r="S85" s="84" t="str"/>
      <x:c r="T85" s="84" t="str"/>
    </x:row>
    <x:row r="86" ht="44" customHeight="1">
      <x:c r="A86" s="83" t="str">
        <x:v>PFM-017</x:v>
      </x:c>
      <x:c r="B86" s="84" t="str">
        <x:v>Portfolio and Core-Function Management</x:v>
      </x:c>
      <x:c r="C86" s="84" t="str">
        <x:v>Archive and lessons</x:v>
      </x:c>
      <x:c r="D86" s="84" t="str">
        <x:v>Closed or canceled portfolio items shall remain searchable with outcomes, lessons, reusable artifacts, final cost, resource use, and disposition of unresolved actions.</x:v>
      </x:c>
      <x:c r="E86" s="85" t="str">
        <x:v>Must</x:v>
      </x:c>
      <x:c r="F86" s="85" t="str">
        <x:v>2</x:v>
      </x:c>
      <x:c r="G86" s="85" t="str">
        <x:v>Configure</x:v>
      </x:c>
      <x:c r="H86" s="84" t="str">
        <x:v>Portfolio and Core-Function Management</x:v>
      </x:c>
      <x:c r="I86" s="84" t="str">
        <x:v>Knowledge Manager</x:v>
      </x:c>
      <x:c r="J86" s="85" t="str">
        <x:v>Demonstration</x:v>
      </x:c>
      <x:c r="K86" s="85" t="str">
        <x:v>Proposed</x:v>
      </x:c>
      <x:c r="L86" s="84" t="str"/>
      <x:c r="M86" s="84" t="str"/>
      <x:c r="N86" s="84" t="str"/>
      <x:c r="O86" s="84" t="str"/>
      <x:c r="P86" s="84" t="str"/>
      <x:c r="Q86" s="84" t="str"/>
      <x:c r="R86" s="84" t="str"/>
      <x:c r="S86" s="84" t="str"/>
      <x:c r="T86" s="84" t="str"/>
    </x:row>
    <x:row r="87" ht="44" customHeight="1">
      <x:c r="A87" s="83" t="str">
        <x:v>PFM-018</x:v>
      </x:c>
      <x:c r="B87" s="84" t="str">
        <x:v>Portfolio and Core-Function Management</x:v>
      </x:c>
      <x:c r="C87" s="84" t="str">
        <x:v>Enterprise hierarchy navigation</x:v>
      </x:c>
      <x:c r="D87" s="84" t="str">
        <x:v>Authorized users shall browse and drill through configurable Objective-to-Portfolio-to-Program-to-Project-to-Workstream-to-Task relationships while preserving alternate product, service, capability, and core-function structures.</x:v>
      </x:c>
      <x:c r="E87" s="85" t="str">
        <x:v>Must</x:v>
      </x:c>
      <x:c r="F87" s="85" t="str">
        <x:v>2</x:v>
      </x:c>
      <x:c r="G87" s="85" t="str">
        <x:v>Extend</x:v>
      </x:c>
      <x:c r="H87" s="84" t="str">
        <x:v>Portfolio and Core-Function Management</x:v>
      </x:c>
      <x:c r="I87" s="84" t="str">
        <x:v>Portfolio Manager</x:v>
      </x:c>
      <x:c r="J87" s="85" t="str">
        <x:v>Demonstration</x:v>
      </x:c>
      <x:c r="K87" s="85" t="str">
        <x:v>Proposed</x:v>
      </x:c>
      <x:c r="L87" s="84" t="str"/>
      <x:c r="M87" s="84" t="str"/>
      <x:c r="N87" s="84" t="str"/>
      <x:c r="O87" s="84" t="str"/>
      <x:c r="P87" s="84" t="str"/>
      <x:c r="Q87" s="84" t="str"/>
      <x:c r="R87" s="84" t="str"/>
      <x:c r="S87" s="84" t="str"/>
      <x:c r="T87" s="84" t="str"/>
    </x:row>
    <x:row r="88" ht="44" customHeight="1">
      <x:c r="A88" s="83" t="str">
        <x:v>PFM-019</x:v>
      </x:c>
      <x:c r="B88" s="84" t="str">
        <x:v>Portfolio and Core-Function Management</x:v>
      </x:c>
      <x:c r="C88" s="84" t="str">
        <x:v>Integrated portfolio schedule</x:v>
      </x:c>
      <x:c r="D88" s="84" t="str">
        <x:v>The platform shall provide hierarchical schedule and Gantt views across portfolios, programs, projects, workstreams, milestones, and tasks, with filters for organization, owner, lifecycle, status, priority, and date range.</x:v>
      </x:c>
      <x:c r="E88" s="85" t="str">
        <x:v>Must</x:v>
      </x:c>
      <x:c r="F88" s="85" t="str">
        <x:v>3</x:v>
      </x:c>
      <x:c r="G88" s="85" t="str">
        <x:v>Extend</x:v>
      </x:c>
      <x:c r="H88" s="84" t="str">
        <x:v>Portfolio and Core-Function Management</x:v>
      </x:c>
      <x:c r="I88" s="84" t="str">
        <x:v>Portfolio Manager</x:v>
      </x:c>
      <x:c r="J88" s="85" t="str">
        <x:v>Demonstration</x:v>
      </x:c>
      <x:c r="K88" s="85" t="str">
        <x:v>Proposed</x:v>
      </x:c>
      <x:c r="L88" s="84" t="str"/>
      <x:c r="M88" s="84" t="str"/>
      <x:c r="N88" s="84" t="str"/>
      <x:c r="O88" s="84" t="str"/>
      <x:c r="P88" s="84" t="str"/>
      <x:c r="Q88" s="84" t="str"/>
      <x:c r="R88" s="84" t="str"/>
      <x:c r="S88" s="84" t="str"/>
      <x:c r="T88" s="84" t="str"/>
    </x:row>
    <x:row r="89" ht="44" customHeight="1">
      <x:c r="A89" s="83" t="str">
        <x:v>PFM-020</x:v>
      </x:c>
      <x:c r="B89" s="84" t="str">
        <x:v>Portfolio and Core-Function Management</x:v>
      </x:c>
      <x:c r="C89" s="84" t="str">
        <x:v>Portfolio risk analytics</x:v>
      </x:c>
      <x:c r="D89" s="84" t="str">
        <x:v>Authorized users shall view configurable risk matrices, issue and risk aging, exposure trends, mitigation status, and aggregated risk by project, program, division, mission, and enterprise portfolio.</x:v>
      </x:c>
      <x:c r="E89" s="85" t="str">
        <x:v>Must</x:v>
      </x:c>
      <x:c r="F89" s="85" t="str">
        <x:v>3</x:v>
      </x:c>
      <x:c r="G89" s="85" t="str">
        <x:v>Extend</x:v>
      </x:c>
      <x:c r="H89" s="84" t="str">
        <x:v>Portfolio and Core-Function Management</x:v>
      </x:c>
      <x:c r="I89" s="84" t="str">
        <x:v>Risk Manager</x:v>
      </x:c>
      <x:c r="J89" s="85" t="str">
        <x:v>Demonstration</x:v>
      </x:c>
      <x:c r="K89" s="85" t="str">
        <x:v>Proposed</x:v>
      </x:c>
      <x:c r="L89" s="84" t="str"/>
      <x:c r="M89" s="84" t="str"/>
      <x:c r="N89" s="84" t="str"/>
      <x:c r="O89" s="84" t="str"/>
      <x:c r="P89" s="84" t="str"/>
      <x:c r="Q89" s="84" t="str"/>
      <x:c r="R89" s="84" t="str"/>
      <x:c r="S89" s="84" t="str"/>
      <x:c r="T89" s="84" t="str"/>
    </x:row>
    <x:row r="90" ht="44" customHeight="1">
      <x:c r="A90" s="83" t="str">
        <x:v>VAL-001</x:v>
      </x:c>
      <x:c r="B90" s="84" t="str">
        <x:v>Portfolio Value, Methods, Blueprints, and Enterprise Scaling</x:v>
      </x:c>
      <x:c r="C90" s="84" t="str">
        <x:v>Value delivery at scale</x:v>
      </x:c>
      <x:c r="D90" s="84" t="str">
        <x:v>The platform shall manage portfolio value consistently from individual tasks and deliverables through projects, programs, division portfolios, and the DDC5I enterprise portfolio, while preserving traceability to mission outcomes.</x:v>
      </x:c>
      <x:c r="E90" s="85" t="str">
        <x:v>Must</x:v>
      </x:c>
      <x:c r="F90" s="85" t="str">
        <x:v>1</x:v>
      </x:c>
      <x:c r="G90" s="85" t="str">
        <x:v>Configure</x:v>
      </x:c>
      <x:c r="H90" s="84" t="str">
        <x:v>Portfolio Value, Methods, Blueprints, and Enterprise Scaling</x:v>
      </x:c>
      <x:c r="I90" s="84" t="str">
        <x:v>DDC5I Portfolio Owner</x:v>
      </x:c>
      <x:c r="J90" s="85" t="str">
        <x:v>Demonstration</x:v>
      </x:c>
      <x:c r="K90" s="85" t="str">
        <x:v>Proposed</x:v>
      </x:c>
      <x:c r="L90" s="84" t="str"/>
      <x:c r="M90" s="84" t="str"/>
      <x:c r="N90" s="84" t="str"/>
      <x:c r="O90" s="84" t="str"/>
      <x:c r="P90" s="84" t="str"/>
      <x:c r="Q90" s="84" t="str"/>
      <x:c r="R90" s="84" t="str"/>
      <x:c r="S90" s="84" t="str"/>
      <x:c r="T90" s="84" t="str"/>
    </x:row>
    <x:row r="91" ht="44" customHeight="1">
      <x:c r="A91" s="83" t="str">
        <x:v>VAL-002</x:v>
      </x:c>
      <x:c r="B91" s="84" t="str">
        <x:v>Portfolio Value, Methods, Blueprints, and Enterprise Scaling</x:v>
      </x:c>
      <x:c r="C91" s="84" t="str">
        <x:v>Unified project-request funnel</x:v>
      </x:c>
      <x:c r="D91" s="84" t="str">
        <x:v>All incoming project requests shall enter through a single governed funnel that supports capture, scoping, cost-benefit assessment, prioritization, disposition, and conversion to execution without duplicate entry.</x:v>
      </x:c>
      <x:c r="E91" s="85" t="str">
        <x:v>Must</x:v>
      </x:c>
      <x:c r="F91" s="85" t="str">
        <x:v>1</x:v>
      </x:c>
      <x:c r="G91" s="85" t="str">
        <x:v>Configure</x:v>
      </x:c>
      <x:c r="H91" s="84" t="str">
        <x:v>Portfolio Value, Methods, Blueprints, and Enterprise Scaling</x:v>
      </x:c>
      <x:c r="I91" s="84" t="str">
        <x:v>Demand Manager</x:v>
      </x:c>
      <x:c r="J91" s="85" t="str">
        <x:v>Demonstration</x:v>
      </x:c>
      <x:c r="K91" s="85" t="str">
        <x:v>Proposed</x:v>
      </x:c>
      <x:c r="L91" s="84" t="str"/>
      <x:c r="M91" s="84" t="str"/>
      <x:c r="N91" s="84" t="str"/>
      <x:c r="O91" s="84" t="str"/>
      <x:c r="P91" s="84" t="str"/>
      <x:c r="Q91" s="84" t="str"/>
      <x:c r="R91" s="84" t="str"/>
      <x:c r="S91" s="84" t="str"/>
      <x:c r="T91" s="84" t="str"/>
    </x:row>
    <x:row r="92" ht="44" customHeight="1">
      <x:c r="A92" s="83" t="str">
        <x:v>VAL-003</x:v>
      </x:c>
      <x:c r="B92" s="84" t="str">
        <x:v>Portfolio Value, Methods, Blueprints, and Enterprise Scaling</x:v>
      </x:c>
      <x:c r="C92" s="84" t="str">
        <x:v>Rapid preliminary scoping</x:v>
      </x:c>
      <x:c r="D92" s="84" t="str">
        <x:v>Demand managers shall create a preliminary scope covering desired outcome, boundaries, assumptions, deliverables, schedule range, required roles and skills, rough-order cost, benefits, dependencies, and confidence before portfolio prioritization.</x:v>
      </x:c>
      <x:c r="E92" s="85" t="str">
        <x:v>Must</x:v>
      </x:c>
      <x:c r="F92" s="85" t="str">
        <x:v>1</x:v>
      </x:c>
      <x:c r="G92" s="85" t="str">
        <x:v>Configure</x:v>
      </x:c>
      <x:c r="H92" s="84" t="str">
        <x:v>Portfolio Value, Methods, Blueprints, and Enterprise Scaling</x:v>
      </x:c>
      <x:c r="I92" s="84" t="str">
        <x:v>Demand Manager</x:v>
      </x:c>
      <x:c r="J92" s="85" t="str">
        <x:v>Demonstration</x:v>
      </x:c>
      <x:c r="K92" s="85" t="str">
        <x:v>Proposed</x:v>
      </x:c>
      <x:c r="L92" s="84" t="str"/>
      <x:c r="M92" s="84" t="str"/>
      <x:c r="N92" s="84" t="str"/>
      <x:c r="O92" s="84" t="str"/>
      <x:c r="P92" s="84" t="str"/>
      <x:c r="Q92" s="84" t="str"/>
      <x:c r="R92" s="84" t="str"/>
      <x:c r="S92" s="84" t="str"/>
      <x:c r="T92" s="84" t="str"/>
    </x:row>
    <x:row r="93" ht="44" customHeight="1">
      <x:c r="A93" s="83" t="str">
        <x:v>VAL-004</x:v>
      </x:c>
      <x:c r="B93" s="84" t="str">
        <x:v>Portfolio Value, Methods, Blueprints, and Enterprise Scaling</x:v>
      </x:c>
      <x:c r="C93" s="84" t="str">
        <x:v>End-to-end PPM automation</x:v>
      </x:c>
      <x:c r="D93" s="84" t="str">
        <x:v>The platform shall automate eligible transitions, assignments, validations, reminders, escalations, project setup, resource requests, monitoring, data roll-ups, benefit reviews, and KPI reporting across the portfolio lifecycle.</x:v>
      </x:c>
      <x:c r="E93" s="85" t="str">
        <x:v>Must</x:v>
      </x:c>
      <x:c r="F93" s="85" t="str">
        <x:v>1</x:v>
      </x:c>
      <x:c r="G93" s="85" t="str">
        <x:v>Configure</x:v>
      </x:c>
      <x:c r="H93" s="84" t="str">
        <x:v>Portfolio Value, Methods, Blueprints, and Enterprise Scaling</x:v>
      </x:c>
      <x:c r="I93" s="84" t="str">
        <x:v>Workflow Administrator</x:v>
      </x:c>
      <x:c r="J93" s="85" t="str">
        <x:v>Demonstration</x:v>
      </x:c>
      <x:c r="K93" s="85" t="str">
        <x:v>Proposed</x:v>
      </x:c>
      <x:c r="L93" s="84" t="str"/>
      <x:c r="M93" s="84" t="str"/>
      <x:c r="N93" s="84" t="str"/>
      <x:c r="O93" s="84" t="str"/>
      <x:c r="P93" s="84" t="str"/>
      <x:c r="Q93" s="84" t="str"/>
      <x:c r="R93" s="84" t="str"/>
      <x:c r="S93" s="84" t="str"/>
      <x:c r="T93" s="84" t="str"/>
    </x:row>
    <x:row r="94" ht="44" customHeight="1">
      <x:c r="A94" s="83" t="str">
        <x:v>VAL-005</x:v>
      </x:c>
      <x:c r="B94" s="84" t="str">
        <x:v>Portfolio Value, Methods, Blueprints, and Enterprise Scaling</x:v>
      </x:c>
      <x:c r="C94" s="84" t="str">
        <x:v>Automation transparency and control</x:v>
      </x:c>
      <x:c r="D94" s="84" t="str">
        <x:v>Every material automation shall have an accountable owner, documented trigger and rule, exception path, execution log, failure alert, manual recovery procedure, and change history.</x:v>
      </x:c>
      <x:c r="E94" s="85" t="str">
        <x:v>Must</x:v>
      </x:c>
      <x:c r="F94" s="85" t="str">
        <x:v>1</x:v>
      </x:c>
      <x:c r="G94" s="85" t="str">
        <x:v>Configure</x:v>
      </x:c>
      <x:c r="H94" s="84" t="str">
        <x:v>Portfolio Value, Methods, Blueprints, and Enterprise Scaling</x:v>
      </x:c>
      <x:c r="I94" s="84" t="str">
        <x:v>Workflow Administrator</x:v>
      </x:c>
      <x:c r="J94" s="85" t="str">
        <x:v>Demonstration</x:v>
      </x:c>
      <x:c r="K94" s="85" t="str">
        <x:v>Proposed</x:v>
      </x:c>
      <x:c r="L94" s="84" t="str"/>
      <x:c r="M94" s="84" t="str"/>
      <x:c r="N94" s="84" t="str"/>
      <x:c r="O94" s="84" t="str"/>
      <x:c r="P94" s="84" t="str"/>
      <x:c r="Q94" s="84" t="str"/>
      <x:c r="R94" s="84" t="str"/>
      <x:c r="S94" s="84" t="str"/>
      <x:c r="T94" s="84" t="str"/>
    </x:row>
    <x:row r="95" ht="44" customHeight="1">
      <x:c r="A95" s="83" t="str">
        <x:v>VAL-006</x:v>
      </x:c>
      <x:c r="B95" s="84" t="str">
        <x:v>Portfolio Value, Methods, Blueprints, and Enterprise Scaling</x:v>
      </x:c>
      <x:c r="C95" s="84" t="str">
        <x:v>Role-curated real-time visibility</x:v>
      </x:c>
      <x:c r="D95" s="84" t="str">
        <x:v>The platform shall curate current status, resource utilization, dependencies, financial performance, risk, outcomes, and value-realization measures for each stakeholder role without requiring users to assemble their own portfolio view.</x:v>
      </x:c>
      <x:c r="E95" s="85" t="str">
        <x:v>Must</x:v>
      </x:c>
      <x:c r="F95" s="85" t="str">
        <x:v>1</x:v>
      </x:c>
      <x:c r="G95" s="85" t="str">
        <x:v>Configure</x:v>
      </x:c>
      <x:c r="H95" s="84" t="str">
        <x:v>Portfolio Value, Methods, Blueprints, and Enterprise Scaling</x:v>
      </x:c>
      <x:c r="I95" s="84" t="str">
        <x:v>Product Owner</x:v>
      </x:c>
      <x:c r="J95" s="85" t="str">
        <x:v>Demonstration</x:v>
      </x:c>
      <x:c r="K95" s="85" t="str">
        <x:v>Proposed</x:v>
      </x:c>
      <x:c r="L95" s="84" t="str"/>
      <x:c r="M95" s="84" t="str"/>
      <x:c r="N95" s="84" t="str"/>
      <x:c r="O95" s="84" t="str"/>
      <x:c r="P95" s="84" t="str"/>
      <x:c r="Q95" s="84" t="str"/>
      <x:c r="R95" s="84" t="str"/>
      <x:c r="S95" s="84" t="str"/>
      <x:c r="T95" s="84" t="str"/>
    </x:row>
    <x:row r="96" ht="44" customHeight="1">
      <x:c r="A96" s="83" t="str">
        <x:v>VAL-007</x:v>
      </x:c>
      <x:c r="B96" s="84" t="str">
        <x:v>Portfolio Value, Methods, Blueprints, and Enterprise Scaling</x:v>
      </x:c>
      <x:c r="C96" s="84" t="str">
        <x:v>Executive exception management</x:v>
      </x:c>
      <x:c r="D96" s="84" t="str">
        <x:v>Senior views shall emphasize off-track work, material variance, unresolved decisions, value at risk, dependency failures, and required leadership action while allowing drill-down to supporting evidence.</x:v>
      </x:c>
      <x:c r="E96" s="85" t="str">
        <x:v>Must</x:v>
      </x:c>
      <x:c r="F96" s="85" t="str">
        <x:v>1</x:v>
      </x:c>
      <x:c r="G96" s="85" t="str">
        <x:v>Configure</x:v>
      </x:c>
      <x:c r="H96" s="84" t="str">
        <x:v>Portfolio Value, Methods, Blueprints, and Enterprise Scaling</x:v>
      </x:c>
      <x:c r="I96" s="84" t="str">
        <x:v>DDC5I Portfolio Owner</x:v>
      </x:c>
      <x:c r="J96" s="85" t="str">
        <x:v>Demonstration</x:v>
      </x:c>
      <x:c r="K96" s="85" t="str">
        <x:v>Proposed</x:v>
      </x:c>
      <x:c r="L96" s="84" t="str"/>
      <x:c r="M96" s="84" t="str"/>
      <x:c r="N96" s="84" t="str"/>
      <x:c r="O96" s="84" t="str"/>
      <x:c r="P96" s="84" t="str"/>
      <x:c r="Q96" s="84" t="str"/>
      <x:c r="R96" s="84" t="str"/>
      <x:c r="S96" s="84" t="str"/>
      <x:c r="T96" s="84" t="str"/>
    </x:row>
    <x:row r="97" ht="44" customHeight="1">
      <x:c r="A97" s="83" t="str">
        <x:v>VAL-008</x:v>
      </x:c>
      <x:c r="B97" s="84" t="str">
        <x:v>Portfolio Value, Methods, Blueprints, and Enterprise Scaling</x:v>
      </x:c>
      <x:c r="C97" s="84" t="str">
        <x:v>Vision and goal communication</x:v>
      </x:c>
      <x:c r="D97" s="84" t="str">
        <x:v>Portfolio and project workspaces shall communicate the applicable vision, goals, priorities, intended outcomes, and measures so team members can understand how their work contributes to DDC5I mission results.</x:v>
      </x:c>
      <x:c r="E97" s="85" t="str">
        <x:v>Must</x:v>
      </x:c>
      <x:c r="F97" s="85" t="str">
        <x:v>2</x:v>
      </x:c>
      <x:c r="G97" s="85" t="str">
        <x:v>Configure</x:v>
      </x:c>
      <x:c r="H97" s="84" t="str">
        <x:v>Portfolio Value, Methods, Blueprints, and Enterprise Scaling</x:v>
      </x:c>
      <x:c r="I97" s="84" t="str">
        <x:v>Strategy Lead</x:v>
      </x:c>
      <x:c r="J97" s="85" t="str">
        <x:v>Demonstration</x:v>
      </x:c>
      <x:c r="K97" s="85" t="str">
        <x:v>Proposed</x:v>
      </x:c>
      <x:c r="L97" s="84" t="str"/>
      <x:c r="M97" s="84" t="str"/>
      <x:c r="N97" s="84" t="str"/>
      <x:c r="O97" s="84" t="str"/>
      <x:c r="P97" s="84" t="str"/>
      <x:c r="Q97" s="84" t="str"/>
      <x:c r="R97" s="84" t="str"/>
      <x:c r="S97" s="84" t="str"/>
      <x:c r="T97" s="84" t="str"/>
    </x:row>
    <x:row r="98" ht="44" customHeight="1">
      <x:c r="A98" s="83" t="str">
        <x:v>VAL-009</x:v>
      </x:c>
      <x:c r="B98" s="84" t="str">
        <x:v>Portfolio Value, Methods, Blueprints, and Enterprise Scaling</x:v>
      </x:c>
      <x:c r="C98" s="84" t="str">
        <x:v>Role and outcome clarity</x:v>
      </x:c>
      <x:c r="D98" s="84" t="str">
        <x:v>Each initiative, program, project, and major workstream shall identify accountable and supporting roles, expected contributions, outcomes, decision rights, and acceptance responsibilities.</x:v>
      </x:c>
      <x:c r="E98" s="85" t="str">
        <x:v>Must</x:v>
      </x:c>
      <x:c r="F98" s="85" t="str">
        <x:v>2</x:v>
      </x:c>
      <x:c r="G98" s="85" t="str">
        <x:v>Configure</x:v>
      </x:c>
      <x:c r="H98" s="84" t="str">
        <x:v>Portfolio Value, Methods, Blueprints, and Enterprise Scaling</x:v>
      </x:c>
      <x:c r="I98" s="84" t="str">
        <x:v>Project Manager</x:v>
      </x:c>
      <x:c r="J98" s="85" t="str">
        <x:v>Demonstration</x:v>
      </x:c>
      <x:c r="K98" s="85" t="str">
        <x:v>Proposed</x:v>
      </x:c>
      <x:c r="L98" s="84" t="str"/>
      <x:c r="M98" s="84" t="str"/>
      <x:c r="N98" s="84" t="str"/>
      <x:c r="O98" s="84" t="str"/>
      <x:c r="P98" s="84" t="str"/>
      <x:c r="Q98" s="84" t="str"/>
      <x:c r="R98" s="84" t="str"/>
      <x:c r="S98" s="84" t="str"/>
      <x:c r="T98" s="84" t="str"/>
    </x:row>
    <x:row r="99" ht="44" customHeight="1">
      <x:c r="A99" s="83" t="str">
        <x:v>VAL-010</x:v>
      </x:c>
      <x:c r="B99" s="84" t="str">
        <x:v>Portfolio Value, Methods, Blueprints, and Enterprise Scaling</x:v>
      </x:c>
      <x:c r="C99" s="84" t="str">
        <x:v>Reusable portfolio blueprints</x:v>
      </x:c>
      <x:c r="D99" s="84" t="str">
        <x:v>Authorized administrators shall create governed blueprints that can generate standardized portfolio, program, and project structures, workflows, fields, roles, milestones, dashboards, reports, and controls.</x:v>
      </x:c>
      <x:c r="E99" s="85" t="str">
        <x:v>Must</x:v>
      </x:c>
      <x:c r="F99" s="85" t="str">
        <x:v>2</x:v>
      </x:c>
      <x:c r="G99" s="85" t="str">
        <x:v>Extend</x:v>
      </x:c>
      <x:c r="H99" s="84" t="str">
        <x:v>Portfolio Value, Methods, Blueprints, and Enterprise Scaling</x:v>
      </x:c>
      <x:c r="I99" s="84" t="str">
        <x:v>PMO Lead</x:v>
      </x:c>
      <x:c r="J99" s="85" t="str">
        <x:v>Demonstration</x:v>
      </x:c>
      <x:c r="K99" s="85" t="str">
        <x:v>Proposed</x:v>
      </x:c>
      <x:c r="L99" s="84" t="str"/>
      <x:c r="M99" s="84" t="str"/>
      <x:c r="N99" s="84" t="str"/>
      <x:c r="O99" s="84" t="str"/>
      <x:c r="P99" s="84" t="str"/>
      <x:c r="Q99" s="84" t="str"/>
      <x:c r="R99" s="84" t="str"/>
      <x:c r="S99" s="84" t="str"/>
      <x:c r="T99" s="84" t="str"/>
    </x:row>
    <x:row r="100" ht="44" customHeight="1">
      <x:c r="A100" s="83" t="str">
        <x:v>VAL-011</x:v>
      </x:c>
      <x:c r="B100" s="84" t="str">
        <x:v>Portfolio Value, Methods, Blueprints, and Enterprise Scaling</x:v>
      </x:c>
      <x:c r="C100" s="84" t="str">
        <x:v>Template-set catalog</x:v>
      </x:c>
      <x:c r="D100" s="84" t="str">
        <x:v>The platform shall provide a searchable catalog of approved template sets for demand intake, strategic planning, PMO operations, project schedules, budget management, transformation programs, IT portfolios, and other DDC5I work patterns.</x:v>
      </x:c>
      <x:c r="E100" s="85" t="str">
        <x:v>Must</x:v>
      </x:c>
      <x:c r="F100" s="85" t="str">
        <x:v>2</x:v>
      </x:c>
      <x:c r="G100" s="85" t="str">
        <x:v>Extend</x:v>
      </x:c>
      <x:c r="H100" s="84" t="str">
        <x:v>Portfolio Value, Methods, Blueprints, and Enterprise Scaling</x:v>
      </x:c>
      <x:c r="I100" s="84" t="str">
        <x:v>PMO Lead</x:v>
      </x:c>
      <x:c r="J100" s="85" t="str">
        <x:v>Demonstration</x:v>
      </x:c>
      <x:c r="K100" s="85" t="str">
        <x:v>Proposed</x:v>
      </x:c>
      <x:c r="L100" s="84" t="str"/>
      <x:c r="M100" s="84" t="str"/>
      <x:c r="N100" s="84" t="str"/>
      <x:c r="O100" s="84" t="str"/>
      <x:c r="P100" s="84" t="str"/>
      <x:c r="Q100" s="84" t="str"/>
      <x:c r="R100" s="84" t="str"/>
      <x:c r="S100" s="84" t="str"/>
      <x:c r="T100" s="84" t="str"/>
    </x:row>
    <x:row r="101" ht="44" customHeight="1">
      <x:c r="A101" s="83" t="str">
        <x:v>VAL-012</x:v>
      </x:c>
      <x:c r="B101" s="84" t="str">
        <x:v>Portfolio Value, Methods, Blueprints, and Enterprise Scaling</x:v>
      </x:c>
      <x:c r="C101" s="84" t="str">
        <x:v>Rapid blueprint deployment</x:v>
      </x:c>
      <x:c r="D101" s="84" t="str">
        <x:v>Authorized users shall deploy a blueprint or template set to create a new project, program, or portfolio with validated identifiers, inherited governance, required artifacts, and linked reporting in a controlled, repeatable action.</x:v>
      </x:c>
      <x:c r="E101" s="85" t="str">
        <x:v>Must</x:v>
      </x:c>
      <x:c r="F101" s="85" t="str">
        <x:v>2</x:v>
      </x:c>
      <x:c r="G101" s="85" t="str">
        <x:v>Extend</x:v>
      </x:c>
      <x:c r="H101" s="84" t="str">
        <x:v>Portfolio Value, Methods, Blueprints, and Enterprise Scaling</x:v>
      </x:c>
      <x:c r="I101" s="84" t="str">
        <x:v>PMO Lead</x:v>
      </x:c>
      <x:c r="J101" s="85" t="str">
        <x:v>Demonstration</x:v>
      </x:c>
      <x:c r="K101" s="85" t="str">
        <x:v>Proposed</x:v>
      </x:c>
      <x:c r="L101" s="84" t="str"/>
      <x:c r="M101" s="84" t="str"/>
      <x:c r="N101" s="84" t="str"/>
      <x:c r="O101" s="84" t="str"/>
      <x:c r="P101" s="84" t="str"/>
      <x:c r="Q101" s="84" t="str"/>
      <x:c r="R101" s="84" t="str"/>
      <x:c r="S101" s="84" t="str"/>
      <x:c r="T101" s="84" t="str"/>
    </x:row>
    <x:row r="102" ht="44" customHeight="1">
      <x:c r="A102" s="83" t="str">
        <x:v>VAL-013</x:v>
      </x:c>
      <x:c r="B102" s="84" t="str">
        <x:v>Portfolio Value, Methods, Blueprints, and Enterprise Scaling</x:v>
      </x:c>
      <x:c r="C102" s="84" t="str">
        <x:v>Blueprint versioning</x:v>
      </x:c>
      <x:c r="D102" s="84" t="str">
        <x:v>Blueprints and template sets shall be version controlled, tested, approved, and capable of identifying deployed instances affected by a blueprint change without silently overwriting active work.</x:v>
      </x:c>
      <x:c r="E102" s="85" t="str">
        <x:v>Must</x:v>
      </x:c>
      <x:c r="F102" s="85" t="str">
        <x:v>2</x:v>
      </x:c>
      <x:c r="G102" s="85" t="str">
        <x:v>Extend</x:v>
      </x:c>
      <x:c r="H102" s="84" t="str">
        <x:v>Portfolio Value, Methods, Blueprints, and Enterprise Scaling</x:v>
      </x:c>
      <x:c r="I102" s="84" t="str">
        <x:v>Platform Owner</x:v>
      </x:c>
      <x:c r="J102" s="85" t="str">
        <x:v>Demonstration</x:v>
      </x:c>
      <x:c r="K102" s="85" t="str">
        <x:v>Proposed</x:v>
      </x:c>
      <x:c r="L102" s="84" t="str"/>
      <x:c r="M102" s="84" t="str"/>
      <x:c r="N102" s="84" t="str"/>
      <x:c r="O102" s="84" t="str"/>
      <x:c r="P102" s="84" t="str"/>
      <x:c r="Q102" s="84" t="str"/>
      <x:c r="R102" s="84" t="str"/>
      <x:c r="S102" s="84" t="str"/>
      <x:c r="T102" s="84" t="str"/>
    </x:row>
    <x:row r="103" ht="44" customHeight="1">
      <x:c r="A103" s="83" t="str">
        <x:v>VAL-014</x:v>
      </x:c>
      <x:c r="B103" s="84" t="str">
        <x:v>Portfolio Value, Methods, Blueprints, and Enterprise Scaling</x:v>
      </x:c>
      <x:c r="C103" s="84" t="str">
        <x:v>Project-to-program scaling</x:v>
      </x:c>
      <x:c r="D103" s="84" t="str">
        <x:v>Authorized managers shall group or promote related projects and work packages into programs and portfolios while maintaining ownership, baselines, financials, resources, dependencies, risks, outcomes, and history.</x:v>
      </x:c>
      <x:c r="E103" s="85" t="str">
        <x:v>Must</x:v>
      </x:c>
      <x:c r="F103" s="85" t="str">
        <x:v>2</x:v>
      </x:c>
      <x:c r="G103" s="85" t="str">
        <x:v>Configure</x:v>
      </x:c>
      <x:c r="H103" s="84" t="str">
        <x:v>Portfolio Value, Methods, Blueprints, and Enterprise Scaling</x:v>
      </x:c>
      <x:c r="I103" s="84" t="str">
        <x:v>Portfolio Manager</x:v>
      </x:c>
      <x:c r="J103" s="85" t="str">
        <x:v>Demonstration</x:v>
      </x:c>
      <x:c r="K103" s="85" t="str">
        <x:v>Proposed</x:v>
      </x:c>
      <x:c r="L103" s="84" t="str"/>
      <x:c r="M103" s="84" t="str"/>
      <x:c r="N103" s="84" t="str"/>
      <x:c r="O103" s="84" t="str"/>
      <x:c r="P103" s="84" t="str"/>
      <x:c r="Q103" s="84" t="str"/>
      <x:c r="R103" s="84" t="str"/>
      <x:c r="S103" s="84" t="str"/>
      <x:c r="T103" s="84" t="str"/>
    </x:row>
    <x:row r="104" ht="44" customHeight="1">
      <x:c r="A104" s="83" t="str">
        <x:v>VAL-015</x:v>
      </x:c>
      <x:c r="B104" s="84" t="str">
        <x:v>Portfolio Value, Methods, Blueprints, and Enterprise Scaling</x:v>
      </x:c>
      <x:c r="C104" s="84" t="str">
        <x:v>Standardization with local flexibility</x:v>
      </x:c>
      <x:c r="D104" s="84" t="str">
        <x:v>Enterprise blueprints shall enforce mandatory governance and reporting while permitting approved division- or method-specific fields, workflows, artifacts, and execution views.</x:v>
      </x:c>
      <x:c r="E104" s="85" t="str">
        <x:v>Must</x:v>
      </x:c>
      <x:c r="F104" s="85" t="str">
        <x:v>2</x:v>
      </x:c>
      <x:c r="G104" s="85" t="str">
        <x:v>Configure</x:v>
      </x:c>
      <x:c r="H104" s="84" t="str">
        <x:v>Portfolio Value, Methods, Blueprints, and Enterprise Scaling</x:v>
      </x:c>
      <x:c r="I104" s="84" t="str">
        <x:v>Platform Owner</x:v>
      </x:c>
      <x:c r="J104" s="85" t="str">
        <x:v>Demonstration</x:v>
      </x:c>
      <x:c r="K104" s="85" t="str">
        <x:v>Proposed</x:v>
      </x:c>
      <x:c r="L104" s="84" t="str"/>
      <x:c r="M104" s="84" t="str"/>
      <x:c r="N104" s="84" t="str"/>
      <x:c r="O104" s="84" t="str"/>
      <x:c r="P104" s="84" t="str"/>
      <x:c r="Q104" s="84" t="str"/>
      <x:c r="R104" s="84" t="str"/>
      <x:c r="S104" s="84" t="str"/>
      <x:c r="T104" s="84" t="str"/>
    </x:row>
    <x:row r="105" ht="44" customHeight="1">
      <x:c r="A105" s="83" t="str">
        <x:v>VAL-016</x:v>
      </x:c>
      <x:c r="B105" s="84" t="str">
        <x:v>Portfolio Value, Methods, Blueprints, and Enterprise Scaling</x:v>
      </x:c>
      <x:c r="C105" s="84" t="str">
        <x:v>Methodology selection</x:v>
      </x:c>
      <x:c r="D105" s="84" t="str">
        <x:v>Each project or program shall select an approved agile, waterfall, hybrid, phase-gate, recurring-operations, or configurable methodology and shall receive method-appropriate fields, controls, metrics, and views.</x:v>
      </x:c>
      <x:c r="E105" s="85" t="str">
        <x:v>Must</x:v>
      </x:c>
      <x:c r="F105" s="85" t="str">
        <x:v>2</x:v>
      </x:c>
      <x:c r="G105" s="85" t="str">
        <x:v>Integrate</x:v>
      </x:c>
      <x:c r="H105" s="84" t="str">
        <x:v>Portfolio Value, Methods, Blueprints, and Enterprise Scaling</x:v>
      </x:c>
      <x:c r="I105" s="84" t="str">
        <x:v>PMO Lead</x:v>
      </x:c>
      <x:c r="J105" s="85" t="str">
        <x:v>Demonstration</x:v>
      </x:c>
      <x:c r="K105" s="85" t="str">
        <x:v>Proposed</x:v>
      </x:c>
      <x:c r="L105" s="84" t="str"/>
      <x:c r="M105" s="84" t="str"/>
      <x:c r="N105" s="84" t="str"/>
      <x:c r="O105" s="84" t="str"/>
      <x:c r="P105" s="84" t="str"/>
      <x:c r="Q105" s="84" t="str"/>
      <x:c r="R105" s="84" t="str"/>
      <x:c r="S105" s="84" t="str"/>
      <x:c r="T105" s="84" t="str"/>
    </x:row>
    <x:row r="106" ht="44" customHeight="1">
      <x:c r="A106" s="83" t="str">
        <x:v>VAL-017</x:v>
      </x:c>
      <x:c r="B106" s="84" t="str">
        <x:v>Portfolio Value, Methods, Blueprints, and Enterprise Scaling</x:v>
      </x:c>
      <x:c r="C106" s="84" t="str">
        <x:v>Methodology-neutral roll-up</x:v>
      </x:c>
      <x:c r="D106" s="84" t="str">
        <x:v>Portfolio dashboards shall normalize method-specific execution data into common enterprise measures for health, forecast, value, risk, capacity, financial performance, and outcomes without forcing teams into one delivery method.</x:v>
      </x:c>
      <x:c r="E106" s="85" t="str">
        <x:v>Must</x:v>
      </x:c>
      <x:c r="F106" s="85" t="str">
        <x:v>3</x:v>
      </x:c>
      <x:c r="G106" s="85" t="str">
        <x:v>Extend</x:v>
      </x:c>
      <x:c r="H106" s="84" t="str">
        <x:v>Portfolio Value, Methods, Blueprints, and Enterprise Scaling</x:v>
      </x:c>
      <x:c r="I106" s="84" t="str">
        <x:v>Portfolio Manager</x:v>
      </x:c>
      <x:c r="J106" s="85" t="str">
        <x:v>Demonstration</x:v>
      </x:c>
      <x:c r="K106" s="85" t="str">
        <x:v>Proposed</x:v>
      </x:c>
      <x:c r="L106" s="84" t="str"/>
      <x:c r="M106" s="84" t="str"/>
      <x:c r="N106" s="84" t="str"/>
      <x:c r="O106" s="84" t="str"/>
      <x:c r="P106" s="84" t="str"/>
      <x:c r="Q106" s="84" t="str"/>
      <x:c r="R106" s="84" t="str"/>
      <x:c r="S106" s="84" t="str"/>
      <x:c r="T106" s="84" t="str"/>
    </x:row>
    <x:row r="107" ht="44" customHeight="1">
      <x:c r="A107" s="83" t="str">
        <x:v>VAL-018</x:v>
      </x:c>
      <x:c r="B107" s="84" t="str">
        <x:v>Portfolio Value, Methods, Blueprints, and Enterprise Scaling</x:v>
      </x:c>
      <x:c r="C107" s="84" t="str">
        <x:v>Agile portfolio management</x:v>
      </x:c>
      <x:c r="D107" s="84" t="str">
        <x:v>The platform shall support continuous prioritization, value streams or portfolio epics, lean governance, incremental funding or capacity allocation where approved, backlog flow, and adaptive alignment to changing objectives.</x:v>
      </x:c>
      <x:c r="E107" s="85" t="str">
        <x:v>Must</x:v>
      </x:c>
      <x:c r="F107" s="85" t="str">
        <x:v>3</x:v>
      </x:c>
      <x:c r="G107" s="85" t="str">
        <x:v>Extend</x:v>
      </x:c>
      <x:c r="H107" s="84" t="str">
        <x:v>Portfolio Value, Methods, Blueprints, and Enterprise Scaling</x:v>
      </x:c>
      <x:c r="I107" s="84" t="str">
        <x:v>Agile Portfolio Lead</x:v>
      </x:c>
      <x:c r="J107" s="85" t="str">
        <x:v>Demonstration</x:v>
      </x:c>
      <x:c r="K107" s="85" t="str">
        <x:v>Proposed</x:v>
      </x:c>
      <x:c r="L107" s="84" t="str"/>
      <x:c r="M107" s="84" t="str"/>
      <x:c r="N107" s="84" t="str"/>
      <x:c r="O107" s="84" t="str"/>
      <x:c r="P107" s="84" t="str"/>
      <x:c r="Q107" s="84" t="str"/>
      <x:c r="R107" s="84" t="str"/>
      <x:c r="S107" s="84" t="str"/>
      <x:c r="T107" s="84" t="str"/>
    </x:row>
    <x:row r="108" ht="44" customHeight="1">
      <x:c r="A108" s="83" t="str">
        <x:v>VAL-019</x:v>
      </x:c>
      <x:c r="B108" s="84" t="str">
        <x:v>Portfolio Value, Methods, Blueprints, and Enterprise Scaling</x:v>
      </x:c>
      <x:c r="C108" s="84" t="str">
        <x:v>Transformation-program management</x:v>
      </x:c>
      <x:c r="D108" s="84" t="str">
        <x:v>The platform shall support transformation programs that connect strategic outcomes, change initiatives, capability increments, projects, organizational adoption, dependencies, benefits, resources, and executive decisions.</x:v>
      </x:c>
      <x:c r="E108" s="85" t="str">
        <x:v>Must</x:v>
      </x:c>
      <x:c r="F108" s="85" t="str">
        <x:v>3</x:v>
      </x:c>
      <x:c r="G108" s="85" t="str">
        <x:v>Extend</x:v>
      </x:c>
      <x:c r="H108" s="84" t="str">
        <x:v>Portfolio Value, Methods, Blueprints, and Enterprise Scaling</x:v>
      </x:c>
      <x:c r="I108" s="84" t="str">
        <x:v>Transformation Lead</x:v>
      </x:c>
      <x:c r="J108" s="85" t="str">
        <x:v>Demonstration</x:v>
      </x:c>
      <x:c r="K108" s="85" t="str">
        <x:v>Proposed</x:v>
      </x:c>
      <x:c r="L108" s="84" t="str"/>
      <x:c r="M108" s="84" t="str"/>
      <x:c r="N108" s="84" t="str"/>
      <x:c r="O108" s="84" t="str"/>
      <x:c r="P108" s="84" t="str"/>
      <x:c r="Q108" s="84" t="str"/>
      <x:c r="R108" s="84" t="str"/>
      <x:c r="S108" s="84" t="str"/>
      <x:c r="T108" s="84" t="str"/>
    </x:row>
    <x:row r="109" ht="44" customHeight="1">
      <x:c r="A109" s="83" t="str">
        <x:v>VAL-020</x:v>
      </x:c>
      <x:c r="B109" s="84" t="str">
        <x:v>Portfolio Value, Methods, Blueprints, and Enterprise Scaling</x:v>
      </x:c>
      <x:c r="C109" s="84" t="str">
        <x:v>IT portfolio management</x:v>
      </x:c>
      <x:c r="D109" s="84" t="str">
        <x:v>The platform shall support IT portfolios that connect demand, applications or services, technology investments, projects, technical debt, resources, budgets, risk, modernization roadmaps, and mission value.</x:v>
      </x:c>
      <x:c r="E109" s="85" t="str">
        <x:v>Must</x:v>
      </x:c>
      <x:c r="F109" s="85" t="str">
        <x:v>3</x:v>
      </x:c>
      <x:c r="G109" s="85" t="str">
        <x:v>Extend</x:v>
      </x:c>
      <x:c r="H109" s="84" t="str">
        <x:v>Portfolio Value, Methods, Blueprints, and Enterprise Scaling</x:v>
      </x:c>
      <x:c r="I109" s="84" t="str">
        <x:v>IT Portfolio Manager</x:v>
      </x:c>
      <x:c r="J109" s="85" t="str">
        <x:v>Demonstration</x:v>
      </x:c>
      <x:c r="K109" s="85" t="str">
        <x:v>Proposed</x:v>
      </x:c>
      <x:c r="L109" s="84" t="str"/>
      <x:c r="M109" s="84" t="str"/>
      <x:c r="N109" s="84" t="str"/>
      <x:c r="O109" s="84" t="str"/>
      <x:c r="P109" s="84" t="str"/>
      <x:c r="Q109" s="84" t="str"/>
      <x:c r="R109" s="84" t="str"/>
      <x:c r="S109" s="84" t="str"/>
      <x:c r="T109" s="84" t="str"/>
    </x:row>
    <x:row r="110" ht="44" customHeight="1">
      <x:c r="A110" s="83" t="str">
        <x:v>VAL-021</x:v>
      </x:c>
      <x:c r="B110" s="84" t="str">
        <x:v>Portfolio Value, Methods, Blueprints, and Enterprise Scaling</x:v>
      </x:c>
      <x:c r="C110" s="84" t="str">
        <x:v>Capability and product-development portfolios</x:v>
      </x:c>
      <x:c r="D110" s="84" t="str">
        <x:v>The platform shall support new capability, product, data-product, standards, and service development portfolios using configurable stage gates, roadmaps, releases, experiments, evidence, transition decisions, and value measures.</x:v>
      </x:c>
      <x:c r="E110" s="85" t="str">
        <x:v>Must</x:v>
      </x:c>
      <x:c r="F110" s="85" t="str">
        <x:v>3</x:v>
      </x:c>
      <x:c r="G110" s="85" t="str">
        <x:v>Extend</x:v>
      </x:c>
      <x:c r="H110" s="84" t="str">
        <x:v>Portfolio Value, Methods, Blueprints, and Enterprise Scaling</x:v>
      </x:c>
      <x:c r="I110" s="84" t="str">
        <x:v>Capability Portfolio Manager</x:v>
      </x:c>
      <x:c r="J110" s="85" t="str">
        <x:v>Demonstration</x:v>
      </x:c>
      <x:c r="K110" s="85" t="str">
        <x:v>Proposed</x:v>
      </x:c>
      <x:c r="L110" s="84" t="str"/>
      <x:c r="M110" s="84" t="str"/>
      <x:c r="N110" s="84" t="str"/>
      <x:c r="O110" s="84" t="str"/>
      <x:c r="P110" s="84" t="str"/>
      <x:c r="Q110" s="84" t="str"/>
      <x:c r="R110" s="84" t="str"/>
      <x:c r="S110" s="84" t="str"/>
      <x:c r="T110" s="84" t="str"/>
    </x:row>
    <x:row r="111" ht="44" customHeight="1">
      <x:c r="A111" s="83" t="str">
        <x:v>VAL-022</x:v>
      </x:c>
      <x:c r="B111" s="84" t="str">
        <x:v>Portfolio Value, Methods, Blueprints, and Enterprise Scaling</x:v>
      </x:c>
      <x:c r="C111" s="84" t="str">
        <x:v>Portfolio optimization</x:v>
      </x:c>
      <x:c r="D111" s="84" t="str">
        <x:v>Authorized analysts shall optimize candidate and active portfolios against configurable objectives and constraints including mission value, mandatory work, budget, capacity, skills, schedule, risk, dependencies, minimum core-function coverage, and strategic balance.</x:v>
      </x:c>
      <x:c r="E111" s="85" t="str">
        <x:v>Must</x:v>
      </x:c>
      <x:c r="F111" s="85" t="str">
        <x:v>4</x:v>
      </x:c>
      <x:c r="G111" s="85" t="str">
        <x:v>Extend</x:v>
      </x:c>
      <x:c r="H111" s="84" t="str">
        <x:v>Portfolio Value, Methods, Blueprints, and Enterprise Scaling</x:v>
      </x:c>
      <x:c r="I111" s="84" t="str">
        <x:v>Portfolio Analyst</x:v>
      </x:c>
      <x:c r="J111" s="85" t="str">
        <x:v>Demonstration</x:v>
      </x:c>
      <x:c r="K111" s="85" t="str">
        <x:v>Proposed</x:v>
      </x:c>
      <x:c r="L111" s="84" t="str"/>
      <x:c r="M111" s="84" t="str"/>
      <x:c r="N111" s="84" t="str"/>
      <x:c r="O111" s="84" t="str"/>
      <x:c r="P111" s="84" t="str"/>
      <x:c r="Q111" s="84" t="str"/>
      <x:c r="R111" s="84" t="str"/>
      <x:c r="S111" s="84" t="str"/>
      <x:c r="T111" s="84" t="str"/>
    </x:row>
    <x:row r="112" ht="44" customHeight="1">
      <x:c r="A112" s="83" t="str">
        <x:v>VAL-023</x:v>
      </x:c>
      <x:c r="B112" s="84" t="str">
        <x:v>Portfolio Value, Methods, Blueprints, and Enterprise Scaling</x:v>
      </x:c>
      <x:c r="C112" s="84" t="str">
        <x:v>Optimization explainability</x:v>
      </x:c>
      <x:c r="D112" s="84" t="str">
        <x:v>Optimization results shall show included and excluded work, binding constraints, tradeoffs, assumptions, sensitivity, and why a recommended portfolio differs from the current plan.</x:v>
      </x:c>
      <x:c r="E112" s="85" t="str">
        <x:v>Must</x:v>
      </x:c>
      <x:c r="F112" s="85" t="str">
        <x:v>4</x:v>
      </x:c>
      <x:c r="G112" s="85" t="str">
        <x:v>Extend</x:v>
      </x:c>
      <x:c r="H112" s="84" t="str">
        <x:v>Portfolio Value, Methods, Blueprints, and Enterprise Scaling</x:v>
      </x:c>
      <x:c r="I112" s="84" t="str">
        <x:v>Portfolio Analyst</x:v>
      </x:c>
      <x:c r="J112" s="85" t="str">
        <x:v>Demonstration</x:v>
      </x:c>
      <x:c r="K112" s="85" t="str">
        <x:v>Proposed</x:v>
      </x:c>
      <x:c r="L112" s="84" t="str"/>
      <x:c r="M112" s="84" t="str"/>
      <x:c r="N112" s="84" t="str"/>
      <x:c r="O112" s="84" t="str"/>
      <x:c r="P112" s="84" t="str"/>
      <x:c r="Q112" s="84" t="str"/>
      <x:c r="R112" s="84" t="str"/>
      <x:c r="S112" s="84" t="str"/>
      <x:c r="T112" s="84" t="str"/>
    </x:row>
    <x:row r="113" ht="44" customHeight="1">
      <x:c r="A113" s="83" t="str">
        <x:v>VAL-024</x:v>
      </x:c>
      <x:c r="B113" s="84" t="str">
        <x:v>Portfolio Value, Methods, Blueprints, and Enterprise Scaling</x:v>
      </x:c>
      <x:c r="C113" s="84" t="str">
        <x:v>Incremental value tracking</x:v>
      </x:c>
      <x:c r="D113" s="84" t="str">
        <x:v>Projects and programs shall define planned value increments, associated deliverables, acceptance criteria, target dates, beneficiaries, and realized results so value is measured throughout execution rather than only at closure.</x:v>
      </x:c>
      <x:c r="E113" s="85" t="str">
        <x:v>Must</x:v>
      </x:c>
      <x:c r="F113" s="85" t="str">
        <x:v>3</x:v>
      </x:c>
      <x:c r="G113" s="85" t="str">
        <x:v>Extend</x:v>
      </x:c>
      <x:c r="H113" s="84" t="str">
        <x:v>Portfolio Value, Methods, Blueprints, and Enterprise Scaling</x:v>
      </x:c>
      <x:c r="I113" s="84" t="str">
        <x:v>Benefits Owner</x:v>
      </x:c>
      <x:c r="J113" s="85" t="str">
        <x:v>Demonstration</x:v>
      </x:c>
      <x:c r="K113" s="85" t="str">
        <x:v>Proposed</x:v>
      </x:c>
      <x:c r="L113" s="84" t="str"/>
      <x:c r="M113" s="84" t="str"/>
      <x:c r="N113" s="84" t="str"/>
      <x:c r="O113" s="84" t="str"/>
      <x:c r="P113" s="84" t="str"/>
      <x:c r="Q113" s="84" t="str"/>
      <x:c r="R113" s="84" t="str"/>
      <x:c r="S113" s="84" t="str"/>
      <x:c r="T113" s="84" t="str"/>
    </x:row>
    <x:row r="114" ht="44" customHeight="1">
      <x:c r="A114" s="83" t="str">
        <x:v>VAL-025</x:v>
      </x:c>
      <x:c r="B114" s="84" t="str">
        <x:v>Portfolio Value, Methods, Blueprints, and Enterprise Scaling</x:v>
      </x:c>
      <x:c r="C114" s="84" t="str">
        <x:v>Time-to-value measurement</x:v>
      </x:c>
      <x:c r="D114" s="84" t="str">
        <x:v>The platform shall measure time from demand submission to decision, initiation, first usable outcome, full operational outcome, and benefit realization and shall identify avoidable delay by stage.</x:v>
      </x:c>
      <x:c r="E114" s="85" t="str">
        <x:v>Must</x:v>
      </x:c>
      <x:c r="F114" s="85" t="str">
        <x:v>3</x:v>
      </x:c>
      <x:c r="G114" s="85" t="str">
        <x:v>Extend</x:v>
      </x:c>
      <x:c r="H114" s="84" t="str">
        <x:v>Portfolio Value, Methods, Blueprints, and Enterprise Scaling</x:v>
      </x:c>
      <x:c r="I114" s="84" t="str">
        <x:v>Benefits Owner</x:v>
      </x:c>
      <x:c r="J114" s="85" t="str">
        <x:v>Demonstration</x:v>
      </x:c>
      <x:c r="K114" s="85" t="str">
        <x:v>Proposed</x:v>
      </x:c>
      <x:c r="L114" s="84" t="str"/>
      <x:c r="M114" s="84" t="str"/>
      <x:c r="N114" s="84" t="str"/>
      <x:c r="O114" s="84" t="str"/>
      <x:c r="P114" s="84" t="str"/>
      <x:c r="Q114" s="84" t="str"/>
      <x:c r="R114" s="84" t="str"/>
      <x:c r="S114" s="84" t="str"/>
      <x:c r="T114" s="84" t="str"/>
    </x:row>
    <x:row r="115" ht="44" customHeight="1">
      <x:c r="A115" s="83" t="str">
        <x:v>VAL-026</x:v>
      </x:c>
      <x:c r="B115" s="84" t="str">
        <x:v>Portfolio Value, Methods, Blueprints, and Enterprise Scaling</x:v>
      </x:c>
      <x:c r="C115" s="84" t="str">
        <x:v>Portfolio process integration</x:v>
      </x:c>
      <x:c r="D115" s="84" t="str">
        <x:v>Demand, strategy, program, project, resource, financial, risk, dependency, benefit, and reporting processes shall operate on connected records and shared identifiers rather than isolated module-specific copies.</x:v>
      </x:c>
      <x:c r="E115" s="85" t="str">
        <x:v>Must</x:v>
      </x:c>
      <x:c r="F115" s="85" t="str">
        <x:v>1</x:v>
      </x:c>
      <x:c r="G115" s="85" t="str">
        <x:v>Configure</x:v>
      </x:c>
      <x:c r="H115" s="84" t="str">
        <x:v>Portfolio Value, Methods, Blueprints, and Enterprise Scaling</x:v>
      </x:c>
      <x:c r="I115" s="84" t="str">
        <x:v>Solution Architect</x:v>
      </x:c>
      <x:c r="J115" s="85" t="str">
        <x:v>Demonstration</x:v>
      </x:c>
      <x:c r="K115" s="85" t="str">
        <x:v>Proposed</x:v>
      </x:c>
      <x:c r="L115" s="84" t="str"/>
      <x:c r="M115" s="84" t="str"/>
      <x:c r="N115" s="84" t="str"/>
      <x:c r="O115" s="84" t="str"/>
      <x:c r="P115" s="84" t="str"/>
      <x:c r="Q115" s="84" t="str"/>
      <x:c r="R115" s="84" t="str"/>
      <x:c r="S115" s="84" t="str"/>
      <x:c r="T115" s="84" t="str"/>
    </x:row>
    <x:row r="116" ht="44" customHeight="1">
      <x:c r="A116" s="83" t="str">
        <x:v>PRJ-001</x:v>
      </x:c>
      <x:c r="B116" s="84" t="str">
        <x:v>ProjectOS Execution and Delivery Management</x:v>
      </x:c>
      <x:c r="C116" s="84" t="str">
        <x:v>Project workspace</x:v>
      </x:c>
      <x:c r="D116" s="84" t="str">
        <x:v>Each approved project shall have a user-level workspace for scope, objectives, end state, team, plan, tasks, schedule, resources, costs, risks, issues, dependencies, decisions, documents, status, and benefits.</x:v>
      </x:c>
      <x:c r="E116" s="85" t="str">
        <x:v>Must</x:v>
      </x:c>
      <x:c r="F116" s="85" t="str">
        <x:v>1</x:v>
      </x:c>
      <x:c r="G116" s="85" t="str">
        <x:v>Integrate</x:v>
      </x:c>
      <x:c r="H116" s="84" t="str">
        <x:v>ProjectOS Execution and Delivery Management</x:v>
      </x:c>
      <x:c r="I116" s="84" t="str">
        <x:v>Project Manager</x:v>
      </x:c>
      <x:c r="J116" s="85" t="str">
        <x:v>Demonstration</x:v>
      </x:c>
      <x:c r="K116" s="85" t="str">
        <x:v>Proposed</x:v>
      </x:c>
      <x:c r="L116" s="84" t="str"/>
      <x:c r="M116" s="84" t="str"/>
      <x:c r="N116" s="84" t="str"/>
      <x:c r="O116" s="84" t="str"/>
      <x:c r="P116" s="84" t="str"/>
      <x:c r="Q116" s="84" t="str"/>
      <x:c r="R116" s="84" t="str"/>
      <x:c r="S116" s="84" t="str"/>
      <x:c r="T116" s="84" t="str"/>
    </x:row>
    <x:row r="117" ht="44" customHeight="1">
      <x:c r="A117" s="83" t="str">
        <x:v>PRJ-002</x:v>
      </x:c>
      <x:c r="B117" s="84" t="str">
        <x:v>ProjectOS Execution and Delivery Management</x:v>
      </x:c>
      <x:c r="C117" s="84" t="str">
        <x:v>Project templates</x:v>
      </x:c>
      <x:c r="D117" s="84" t="str">
        <x:v>Authorized users shall create reusable templates for common DDC5I project types with default phases, milestones, tasks, checklists, roles, artifacts, gates, risks, and reporting cadence.</x:v>
      </x:c>
      <x:c r="E117" s="85" t="str">
        <x:v>Must</x:v>
      </x:c>
      <x:c r="F117" s="85" t="str">
        <x:v>1</x:v>
      </x:c>
      <x:c r="G117" s="85" t="str">
        <x:v>Integrate</x:v>
      </x:c>
      <x:c r="H117" s="84" t="str">
        <x:v>ProjectOS Execution and Delivery Management</x:v>
      </x:c>
      <x:c r="I117" s="84" t="str">
        <x:v>PMO Lead</x:v>
      </x:c>
      <x:c r="J117" s="85" t="str">
        <x:v>Demonstration</x:v>
      </x:c>
      <x:c r="K117" s="85" t="str">
        <x:v>Proposed</x:v>
      </x:c>
      <x:c r="L117" s="84" t="str"/>
      <x:c r="M117" s="84" t="str"/>
      <x:c r="N117" s="84" t="str"/>
      <x:c r="O117" s="84" t="str"/>
      <x:c r="P117" s="84" t="str"/>
      <x:c r="Q117" s="84" t="str"/>
      <x:c r="R117" s="84" t="str"/>
      <x:c r="S117" s="84" t="str"/>
      <x:c r="T117" s="84" t="str"/>
    </x:row>
    <x:row r="118" ht="44" customHeight="1">
      <x:c r="A118" s="83" t="str">
        <x:v>PRJ-003</x:v>
      </x:c>
      <x:c r="B118" s="84" t="str">
        <x:v>ProjectOS Execution and Delivery Management</x:v>
      </x:c>
      <x:c r="C118" s="84" t="str">
        <x:v>WBS</x:v>
      </x:c>
      <x:c r="D118" s="84" t="str">
        <x:v>Project managers shall create, import, edit, indent, sequence, and baseline a work breakdown structure with unique WBS identifiers and roll-up of dates, effort, cost, and percent complete.</x:v>
      </x:c>
      <x:c r="E118" s="85" t="str">
        <x:v>Must</x:v>
      </x:c>
      <x:c r="F118" s="85" t="str">
        <x:v>1</x:v>
      </x:c>
      <x:c r="G118" s="85" t="str">
        <x:v>Integrate</x:v>
      </x:c>
      <x:c r="H118" s="84" t="str">
        <x:v>ProjectOS Execution and Delivery Management</x:v>
      </x:c>
      <x:c r="I118" s="84" t="str">
        <x:v>Project Manager</x:v>
      </x:c>
      <x:c r="J118" s="85" t="str">
        <x:v>Demonstration</x:v>
      </x:c>
      <x:c r="K118" s="85" t="str">
        <x:v>Proposed</x:v>
      </x:c>
      <x:c r="L118" s="84" t="str"/>
      <x:c r="M118" s="84" t="str"/>
      <x:c r="N118" s="84" t="str"/>
      <x:c r="O118" s="84" t="str"/>
      <x:c r="P118" s="84" t="str"/>
      <x:c r="Q118" s="84" t="str"/>
      <x:c r="R118" s="84" t="str"/>
      <x:c r="S118" s="84" t="str"/>
      <x:c r="T118" s="84" t="str"/>
    </x:row>
    <x:row r="119" ht="44" customHeight="1">
      <x:c r="A119" s="83" t="str">
        <x:v>PRJ-004</x:v>
      </x:c>
      <x:c r="B119" s="84" t="str">
        <x:v>ProjectOS Execution and Delivery Management</x:v>
      </x:c>
      <x:c r="C119" s="84" t="str">
        <x:v>Kanban and boards</x:v>
      </x:c>
      <x:c r="D119" s="84" t="str">
        <x:v>Users shall manage tasks in configurable Kanban or board views with drag-and-drop status changes governed by permissions and workflow rules.</x:v>
      </x:c>
      <x:c r="E119" s="85" t="str">
        <x:v>Must</x:v>
      </x:c>
      <x:c r="F119" s="85" t="str">
        <x:v>1</x:v>
      </x:c>
      <x:c r="G119" s="85" t="str">
        <x:v>Integrate</x:v>
      </x:c>
      <x:c r="H119" s="84" t="str">
        <x:v>ProjectOS Execution and Delivery Management</x:v>
      </x:c>
      <x:c r="I119" s="84" t="str">
        <x:v>Project Manager</x:v>
      </x:c>
      <x:c r="J119" s="85" t="str">
        <x:v>Demonstration</x:v>
      </x:c>
      <x:c r="K119" s="85" t="str">
        <x:v>Proposed</x:v>
      </x:c>
      <x:c r="L119" s="84" t="str"/>
      <x:c r="M119" s="84" t="str"/>
      <x:c r="N119" s="84" t="str"/>
      <x:c r="O119" s="84" t="str"/>
      <x:c r="P119" s="84" t="str"/>
      <x:c r="Q119" s="84" t="str"/>
      <x:c r="R119" s="84" t="str"/>
      <x:c r="S119" s="84" t="str"/>
      <x:c r="T119" s="84" t="str"/>
    </x:row>
    <x:row r="120" ht="44" customHeight="1">
      <x:c r="A120" s="83" t="str">
        <x:v>PRJ-005</x:v>
      </x:c>
      <x:c r="B120" s="84" t="str">
        <x:v>ProjectOS Execution and Delivery Management</x:v>
      </x:c>
      <x:c r="C120" s="84" t="str">
        <x:v>Timeline and Gantt</x:v>
      </x:c>
      <x:c r="D120" s="84" t="str">
        <x:v>Users shall view and edit project schedules in timeline or Gantt views showing dependencies, milestones, baselines, critical path, and variance.</x:v>
      </x:c>
      <x:c r="E120" s="85" t="str">
        <x:v>Must</x:v>
      </x:c>
      <x:c r="F120" s="85" t="str">
        <x:v>1</x:v>
      </x:c>
      <x:c r="G120" s="85" t="str">
        <x:v>Integrate</x:v>
      </x:c>
      <x:c r="H120" s="84" t="str">
        <x:v>ProjectOS Execution and Delivery Management</x:v>
      </x:c>
      <x:c r="I120" s="84" t="str">
        <x:v>Project Manager</x:v>
      </x:c>
      <x:c r="J120" s="85" t="str">
        <x:v>Demonstration</x:v>
      </x:c>
      <x:c r="K120" s="85" t="str">
        <x:v>Proposed</x:v>
      </x:c>
      <x:c r="L120" s="84" t="str"/>
      <x:c r="M120" s="84" t="str"/>
      <x:c r="N120" s="84" t="str"/>
      <x:c r="O120" s="84" t="str"/>
      <x:c r="P120" s="84" t="str"/>
      <x:c r="Q120" s="84" t="str"/>
      <x:c r="R120" s="84" t="str"/>
      <x:c r="S120" s="84" t="str"/>
      <x:c r="T120" s="84" t="str"/>
    </x:row>
    <x:row r="121" ht="44" customHeight="1">
      <x:c r="A121" s="83" t="str">
        <x:v>PRJ-006</x:v>
      </x:c>
      <x:c r="B121" s="84" t="str">
        <x:v>ProjectOS Execution and Delivery Management</x:v>
      </x:c>
      <x:c r="C121" s="84" t="str">
        <x:v>Agile delivery</x:v>
      </x:c>
      <x:c r="D121" s="84" t="str">
        <x:v>Projects shall support backlogs, epics, features, stories, sprints, estimates, acceptance criteria, velocity, and retrospective notes where agile delivery is selected.</x:v>
      </x:c>
      <x:c r="E121" s="85" t="str">
        <x:v>Must</x:v>
      </x:c>
      <x:c r="F121" s="85" t="str">
        <x:v>2</x:v>
      </x:c>
      <x:c r="G121" s="85" t="str">
        <x:v>Integrate</x:v>
      </x:c>
      <x:c r="H121" s="84" t="str">
        <x:v>ProjectOS Execution and Delivery Management</x:v>
      </x:c>
      <x:c r="I121" s="84" t="str">
        <x:v>Delivery Lead</x:v>
      </x:c>
      <x:c r="J121" s="85" t="str">
        <x:v>Demonstration</x:v>
      </x:c>
      <x:c r="K121" s="85" t="str">
        <x:v>Proposed</x:v>
      </x:c>
      <x:c r="L121" s="84" t="str"/>
      <x:c r="M121" s="84" t="str"/>
      <x:c r="N121" s="84" t="str"/>
      <x:c r="O121" s="84" t="str"/>
      <x:c r="P121" s="84" t="str"/>
      <x:c r="Q121" s="84" t="str"/>
      <x:c r="R121" s="84" t="str"/>
      <x:c r="S121" s="84" t="str"/>
      <x:c r="T121" s="84" t="str"/>
    </x:row>
    <x:row r="122" ht="44" customHeight="1">
      <x:c r="A122" s="83" t="str">
        <x:v>PRJ-007</x:v>
      </x:c>
      <x:c r="B122" s="84" t="str">
        <x:v>ProjectOS Execution and Delivery Management</x:v>
      </x:c>
      <x:c r="C122" s="84" t="str">
        <x:v>Task detail</x:v>
      </x:c>
      <x:c r="D122" s="84" t="str">
        <x:v>Each task shall support owner, contributors, status, priority, dates, estimated and actual effort, percent complete, dependencies, checklist, notes, attachments, comments, tags, and acceptance evidence.</x:v>
      </x:c>
      <x:c r="E122" s="85" t="str">
        <x:v>Must</x:v>
      </x:c>
      <x:c r="F122" s="85" t="str">
        <x:v>1</x:v>
      </x:c>
      <x:c r="G122" s="85" t="str">
        <x:v>Integrate</x:v>
      </x:c>
      <x:c r="H122" s="84" t="str">
        <x:v>ProjectOS Execution and Delivery Management</x:v>
      </x:c>
      <x:c r="I122" s="84" t="str">
        <x:v>Task Owner</x:v>
      </x:c>
      <x:c r="J122" s="85" t="str">
        <x:v>Demonstration</x:v>
      </x:c>
      <x:c r="K122" s="85" t="str">
        <x:v>Proposed</x:v>
      </x:c>
      <x:c r="L122" s="84" t="str"/>
      <x:c r="M122" s="84" t="str"/>
      <x:c r="N122" s="84" t="str"/>
      <x:c r="O122" s="84" t="str"/>
      <x:c r="P122" s="84" t="str"/>
      <x:c r="Q122" s="84" t="str"/>
      <x:c r="R122" s="84" t="str"/>
      <x:c r="S122" s="84" t="str"/>
      <x:c r="T122" s="84" t="str"/>
    </x:row>
    <x:row r="123" ht="44" customHeight="1">
      <x:c r="A123" s="83" t="str">
        <x:v>PRJ-008</x:v>
      </x:c>
      <x:c r="B123" s="84" t="str">
        <x:v>ProjectOS Execution and Delivery Management</x:v>
      </x:c>
      <x:c r="C123" s="84" t="str">
        <x:v>Dependency enforcement</x:v>
      </x:c>
      <x:c r="D123" s="84" t="str">
        <x:v>The platform shall support finish-to-start, start-to-start, finish-to-finish, and external milestone dependencies and shall warn users of invalid or broken schedule relationships.</x:v>
      </x:c>
      <x:c r="E123" s="85" t="str">
        <x:v>Must</x:v>
      </x:c>
      <x:c r="F123" s="85" t="str">
        <x:v>2</x:v>
      </x:c>
      <x:c r="G123" s="85" t="str">
        <x:v>Integrate</x:v>
      </x:c>
      <x:c r="H123" s="84" t="str">
        <x:v>ProjectOS Execution and Delivery Management</x:v>
      </x:c>
      <x:c r="I123" s="84" t="str">
        <x:v>Project Manager</x:v>
      </x:c>
      <x:c r="J123" s="85" t="str">
        <x:v>Demonstration</x:v>
      </x:c>
      <x:c r="K123" s="85" t="str">
        <x:v>Proposed</x:v>
      </x:c>
      <x:c r="L123" s="84" t="str"/>
      <x:c r="M123" s="84" t="str"/>
      <x:c r="N123" s="84" t="str"/>
      <x:c r="O123" s="84" t="str"/>
      <x:c r="P123" s="84" t="str"/>
      <x:c r="Q123" s="84" t="str"/>
      <x:c r="R123" s="84" t="str"/>
      <x:c r="S123" s="84" t="str"/>
      <x:c r="T123" s="84" t="str"/>
    </x:row>
    <x:row r="124" ht="44" customHeight="1">
      <x:c r="A124" s="83" t="str">
        <x:v>PRJ-009</x:v>
      </x:c>
      <x:c r="B124" s="84" t="str">
        <x:v>ProjectOS Execution and Delivery Management</x:v>
      </x:c>
      <x:c r="C124" s="84" t="str">
        <x:v>Milestone governance</x:v>
      </x:c>
      <x:c r="D124" s="84" t="str">
        <x:v>Projects shall identify key decision, delivery, integration, test, policy, funding, and external milestones with criteria, owner, forecast date, confidence, and status.</x:v>
      </x:c>
      <x:c r="E124" s="85" t="str">
        <x:v>Must</x:v>
      </x:c>
      <x:c r="F124" s="85" t="str">
        <x:v>1</x:v>
      </x:c>
      <x:c r="G124" s="85" t="str">
        <x:v>Configure</x:v>
      </x:c>
      <x:c r="H124" s="84" t="str">
        <x:v>ProjectOS Execution and Delivery Management</x:v>
      </x:c>
      <x:c r="I124" s="84" t="str">
        <x:v>Project Manager</x:v>
      </x:c>
      <x:c r="J124" s="85" t="str">
        <x:v>Demonstration</x:v>
      </x:c>
      <x:c r="K124" s="85" t="str">
        <x:v>Proposed</x:v>
      </x:c>
      <x:c r="L124" s="84" t="str"/>
      <x:c r="M124" s="84" t="str"/>
      <x:c r="N124" s="84" t="str"/>
      <x:c r="O124" s="84" t="str"/>
      <x:c r="P124" s="84" t="str"/>
      <x:c r="Q124" s="84" t="str"/>
      <x:c r="R124" s="84" t="str"/>
      <x:c r="S124" s="84" t="str"/>
      <x:c r="T124" s="84" t="str"/>
    </x:row>
    <x:row r="125" ht="44" customHeight="1">
      <x:c r="A125" s="83" t="str">
        <x:v>PRJ-010</x:v>
      </x:c>
      <x:c r="B125" s="84" t="str">
        <x:v>ProjectOS Execution and Delivery Management</x:v>
      </x:c>
      <x:c r="C125" s="84" t="str">
        <x:v>RAID management</x:v>
      </x:c>
      <x:c r="D125" s="84" t="str">
        <x:v>Projects shall maintain linked risks, assumptions, issues, decisions, and dependencies with owners, aging, response plans, escalation, and closure evidence.</x:v>
      </x:c>
      <x:c r="E125" s="85" t="str">
        <x:v>Must</x:v>
      </x:c>
      <x:c r="F125" s="85" t="str">
        <x:v>1</x:v>
      </x:c>
      <x:c r="G125" s="85" t="str">
        <x:v>Configure</x:v>
      </x:c>
      <x:c r="H125" s="84" t="str">
        <x:v>ProjectOS Execution and Delivery Management</x:v>
      </x:c>
      <x:c r="I125" s="84" t="str">
        <x:v>Project Manager</x:v>
      </x:c>
      <x:c r="J125" s="85" t="str">
        <x:v>Demonstration</x:v>
      </x:c>
      <x:c r="K125" s="85" t="str">
        <x:v>Proposed</x:v>
      </x:c>
      <x:c r="L125" s="84" t="str"/>
      <x:c r="M125" s="84" t="str"/>
      <x:c r="N125" s="84" t="str"/>
      <x:c r="O125" s="84" t="str"/>
      <x:c r="P125" s="84" t="str"/>
      <x:c r="Q125" s="84" t="str"/>
      <x:c r="R125" s="84" t="str"/>
      <x:c r="S125" s="84" t="str"/>
      <x:c r="T125" s="84" t="str"/>
    </x:row>
    <x:row r="126" ht="44" customHeight="1">
      <x:c r="A126" s="83" t="str">
        <x:v>PRJ-011</x:v>
      </x:c>
      <x:c r="B126" s="84" t="str">
        <x:v>ProjectOS Execution and Delivery Management</x:v>
      </x:c>
      <x:c r="C126" s="84" t="str">
        <x:v>Action tracking</x:v>
      </x:c>
      <x:c r="D126" s="84" t="str">
        <x:v>Meeting and governance actions shall be assigned, due-dated, linked to affected items, reminded, escalated, and closed with evidence.</x:v>
      </x:c>
      <x:c r="E126" s="85" t="str">
        <x:v>Must</x:v>
      </x:c>
      <x:c r="F126" s="85" t="str">
        <x:v>1</x:v>
      </x:c>
      <x:c r="G126" s="85" t="str">
        <x:v>Configure</x:v>
      </x:c>
      <x:c r="H126" s="84" t="str">
        <x:v>ProjectOS Execution and Delivery Management</x:v>
      </x:c>
      <x:c r="I126" s="84" t="str">
        <x:v>Project Manager</x:v>
      </x:c>
      <x:c r="J126" s="85" t="str">
        <x:v>Demonstration</x:v>
      </x:c>
      <x:c r="K126" s="85" t="str">
        <x:v>Proposed</x:v>
      </x:c>
      <x:c r="L126" s="84" t="str"/>
      <x:c r="M126" s="84" t="str"/>
      <x:c r="N126" s="84" t="str"/>
      <x:c r="O126" s="84" t="str"/>
      <x:c r="P126" s="84" t="str"/>
      <x:c r="Q126" s="84" t="str"/>
      <x:c r="R126" s="84" t="str"/>
      <x:c r="S126" s="84" t="str"/>
      <x:c r="T126" s="84" t="str"/>
    </x:row>
    <x:row r="127" ht="44" customHeight="1">
      <x:c r="A127" s="83" t="str">
        <x:v>PRJ-012</x:v>
      </x:c>
      <x:c r="B127" s="84" t="str">
        <x:v>ProjectOS Execution and Delivery Management</x:v>
      </x:c>
      <x:c r="C127" s="84" t="str">
        <x:v>Document management</x:v>
      </x:c>
      <x:c r="D127" s="84" t="str">
        <x:v>Users shall upload, link, version, categorize, preview, and search authorized project documents and associate them with tasks, milestones, risks, decisions, or deliverables.</x:v>
      </x:c>
      <x:c r="E127" s="85" t="str">
        <x:v>Must</x:v>
      </x:c>
      <x:c r="F127" s="85" t="str">
        <x:v>1</x:v>
      </x:c>
      <x:c r="G127" s="85" t="str">
        <x:v>Integrate</x:v>
      </x:c>
      <x:c r="H127" s="84" t="str">
        <x:v>ProjectOS Execution and Delivery Management</x:v>
      </x:c>
      <x:c r="I127" s="84" t="str">
        <x:v>Knowledge Manager</x:v>
      </x:c>
      <x:c r="J127" s="85" t="str">
        <x:v>Demonstration</x:v>
      </x:c>
      <x:c r="K127" s="85" t="str">
        <x:v>Proposed</x:v>
      </x:c>
      <x:c r="L127" s="84" t="str"/>
      <x:c r="M127" s="84" t="str"/>
      <x:c r="N127" s="84" t="str"/>
      <x:c r="O127" s="84" t="str"/>
      <x:c r="P127" s="84" t="str"/>
      <x:c r="Q127" s="84" t="str"/>
      <x:c r="R127" s="84" t="str"/>
      <x:c r="S127" s="84" t="str"/>
      <x:c r="T127" s="84" t="str"/>
    </x:row>
    <x:row r="128" ht="44" customHeight="1">
      <x:c r="A128" s="83" t="str">
        <x:v>PRJ-013</x:v>
      </x:c>
      <x:c r="B128" s="84" t="str">
        <x:v>ProjectOS Execution and Delivery Management</x:v>
      </x:c>
      <x:c r="C128" s="84" t="str">
        <x:v>Status reporting</x:v>
      </x:c>
      <x:c r="D128" s="84" t="str">
        <x:v>Project managers shall submit a periodic status update recording the reporting period, reporter, accomplishments, planned activities, health, variances, decisions needed, resource needs, risks, roadblocks, changes since the prior report, and supporting evidence.</x:v>
      </x:c>
      <x:c r="E128" s="85" t="str">
        <x:v>Must</x:v>
      </x:c>
      <x:c r="F128" s="85" t="str">
        <x:v>1</x:v>
      </x:c>
      <x:c r="G128" s="85" t="str">
        <x:v>Configure</x:v>
      </x:c>
      <x:c r="H128" s="84" t="str">
        <x:v>ProjectOS Execution and Delivery Management</x:v>
      </x:c>
      <x:c r="I128" s="84" t="str">
        <x:v>Project Manager</x:v>
      </x:c>
      <x:c r="J128" s="85" t="str">
        <x:v>Demonstration</x:v>
      </x:c>
      <x:c r="K128" s="85" t="str">
        <x:v>Proposed</x:v>
      </x:c>
      <x:c r="L128" s="84" t="str"/>
      <x:c r="M128" s="84" t="str"/>
      <x:c r="N128" s="84" t="str"/>
      <x:c r="O128" s="84" t="str"/>
      <x:c r="P128" s="84" t="str"/>
      <x:c r="Q128" s="84" t="str"/>
      <x:c r="R128" s="84" t="str"/>
      <x:c r="S128" s="84" t="str"/>
      <x:c r="T128" s="84" t="str"/>
    </x:row>
    <x:row r="129" ht="44" customHeight="1">
      <x:c r="A129" s="83" t="str">
        <x:v>PRJ-014</x:v>
      </x:c>
      <x:c r="B129" s="84" t="str">
        <x:v>ProjectOS Execution and Delivery Management</x:v>
      </x:c>
      <x:c r="C129" s="84" t="str">
        <x:v>Automatic roll-up</x:v>
      </x:c>
      <x:c r="D129" s="84" t="str">
        <x:v>Approved project status, milestones, forecast dates, resource actuals, financial actuals, risks, and benefits shall feed division and senior dashboards without manual re-entry.</x:v>
      </x:c>
      <x:c r="E129" s="85" t="str">
        <x:v>Must</x:v>
      </x:c>
      <x:c r="F129" s="85" t="str">
        <x:v>1</x:v>
      </x:c>
      <x:c r="G129" s="85" t="str">
        <x:v>Integrate</x:v>
      </x:c>
      <x:c r="H129" s="84" t="str">
        <x:v>ProjectOS Execution and Delivery Management</x:v>
      </x:c>
      <x:c r="I129" s="84" t="str">
        <x:v>Integration Owner</x:v>
      </x:c>
      <x:c r="J129" s="85" t="str">
        <x:v>Demonstration</x:v>
      </x:c>
      <x:c r="K129" s="85" t="str">
        <x:v>Proposed</x:v>
      </x:c>
      <x:c r="L129" s="84" t="str"/>
      <x:c r="M129" s="84" t="str"/>
      <x:c r="N129" s="84" t="str"/>
      <x:c r="O129" s="84" t="str"/>
      <x:c r="P129" s="84" t="str"/>
      <x:c r="Q129" s="84" t="str"/>
      <x:c r="R129" s="84" t="str"/>
      <x:c r="S129" s="84" t="str"/>
      <x:c r="T129" s="84" t="str"/>
    </x:row>
    <x:row r="130" ht="44" customHeight="1">
      <x:c r="A130" s="83" t="str">
        <x:v>PRJ-015</x:v>
      </x:c>
      <x:c r="B130" s="84" t="str">
        <x:v>ProjectOS Execution and Delivery Management</x:v>
      </x:c>
      <x:c r="C130" s="84" t="str">
        <x:v>Baseline and change control</x:v>
      </x:c>
      <x:c r="D130" s="84" t="str">
        <x:v>The platform shall baseline approved scope, schedule, cost, and resources and require authorized change control when configured tolerances are exceeded.</x:v>
      </x:c>
      <x:c r="E130" s="85" t="str">
        <x:v>Must</x:v>
      </x:c>
      <x:c r="F130" s="85" t="str">
        <x:v>2</x:v>
      </x:c>
      <x:c r="G130" s="85" t="str">
        <x:v>Configure</x:v>
      </x:c>
      <x:c r="H130" s="84" t="str">
        <x:v>ProjectOS Execution and Delivery Management</x:v>
      </x:c>
      <x:c r="I130" s="84" t="str">
        <x:v>Change Control Board</x:v>
      </x:c>
      <x:c r="J130" s="85" t="str">
        <x:v>Demonstration</x:v>
      </x:c>
      <x:c r="K130" s="85" t="str">
        <x:v>Proposed</x:v>
      </x:c>
      <x:c r="L130" s="84" t="str"/>
      <x:c r="M130" s="84" t="str"/>
      <x:c r="N130" s="84" t="str"/>
      <x:c r="O130" s="84" t="str"/>
      <x:c r="P130" s="84" t="str"/>
      <x:c r="Q130" s="84" t="str"/>
      <x:c r="R130" s="84" t="str"/>
      <x:c r="S130" s="84" t="str"/>
      <x:c r="T130" s="84" t="str"/>
    </x:row>
    <x:row r="131" ht="44" customHeight="1">
      <x:c r="A131" s="83" t="str">
        <x:v>PRJ-016</x:v>
      </x:c>
      <x:c r="B131" s="84" t="str">
        <x:v>ProjectOS Execution and Delivery Management</x:v>
      </x:c>
      <x:c r="C131" s="84" t="str">
        <x:v>Deliverable acceptance</x:v>
      </x:c>
      <x:c r="D131" s="84" t="str">
        <x:v>Each deliverable shall have an accountable producer, accepting authority, due date, acceptance criteria, version, disposition, and acceptance evidence.</x:v>
      </x:c>
      <x:c r="E131" s="85" t="str">
        <x:v>Must</x:v>
      </x:c>
      <x:c r="F131" s="85" t="str">
        <x:v>1</x:v>
      </x:c>
      <x:c r="G131" s="85" t="str">
        <x:v>Configure</x:v>
      </x:c>
      <x:c r="H131" s="84" t="str">
        <x:v>ProjectOS Execution and Delivery Management</x:v>
      </x:c>
      <x:c r="I131" s="84" t="str">
        <x:v>Project Manager</x:v>
      </x:c>
      <x:c r="J131" s="85" t="str">
        <x:v>Demonstration</x:v>
      </x:c>
      <x:c r="K131" s="85" t="str">
        <x:v>Proposed</x:v>
      </x:c>
      <x:c r="L131" s="84" t="str"/>
      <x:c r="M131" s="84" t="str"/>
      <x:c r="N131" s="84" t="str"/>
      <x:c r="O131" s="84" t="str"/>
      <x:c r="P131" s="84" t="str"/>
      <x:c r="Q131" s="84" t="str"/>
      <x:c r="R131" s="84" t="str"/>
      <x:c r="S131" s="84" t="str"/>
      <x:c r="T131" s="84" t="str"/>
    </x:row>
    <x:row r="132" ht="44" customHeight="1">
      <x:c r="A132" s="83" t="str">
        <x:v>PRJ-017</x:v>
      </x:c>
      <x:c r="B132" s="84" t="str">
        <x:v>ProjectOS Execution and Delivery Management</x:v>
      </x:c>
      <x:c r="C132" s="84" t="str">
        <x:v>Time and effort capture</x:v>
      </x:c>
      <x:c r="D132" s="84" t="str">
        <x:v>Team members shall record or import actual effort against authorized tasks or core-function work, with approval and correction workflows appropriate to policy.</x:v>
      </x:c>
      <x:c r="E132" s="85" t="str">
        <x:v>Must</x:v>
      </x:c>
      <x:c r="F132" s="85" t="str">
        <x:v>3</x:v>
      </x:c>
      <x:c r="G132" s="85" t="str">
        <x:v>Integrate</x:v>
      </x:c>
      <x:c r="H132" s="84" t="str">
        <x:v>ProjectOS Execution and Delivery Management</x:v>
      </x:c>
      <x:c r="I132" s="84" t="str">
        <x:v>Resource Manager</x:v>
      </x:c>
      <x:c r="J132" s="85" t="str">
        <x:v>Demonstration</x:v>
      </x:c>
      <x:c r="K132" s="85" t="str">
        <x:v>Proposed</x:v>
      </x:c>
      <x:c r="L132" s="84" t="str"/>
      <x:c r="M132" s="84" t="str"/>
      <x:c r="N132" s="84" t="str"/>
      <x:c r="O132" s="84" t="str"/>
      <x:c r="P132" s="84" t="str"/>
      <x:c r="Q132" s="84" t="str"/>
      <x:c r="R132" s="84" t="str"/>
      <x:c r="S132" s="84" t="str"/>
      <x:c r="T132" s="84" t="str"/>
    </x:row>
    <x:row r="133" ht="44" customHeight="1">
      <x:c r="A133" s="83" t="str">
        <x:v>PRJ-018</x:v>
      </x:c>
      <x:c r="B133" s="84" t="str">
        <x:v>ProjectOS Execution and Delivery Management</x:v>
      </x:c>
      <x:c r="C133" s="84" t="str">
        <x:v>Project calendar</x:v>
      </x:c>
      <x:c r="D133" s="84" t="str">
        <x:v>Project milestones, reviews, due dates, and selected tasks shall appear in a project calendar and optionally synchronize with authorized Outlook calendars.</x:v>
      </x:c>
      <x:c r="E133" s="85" t="str">
        <x:v>Must</x:v>
      </x:c>
      <x:c r="F133" s="85" t="str">
        <x:v>3</x:v>
      </x:c>
      <x:c r="G133" s="85" t="str">
        <x:v>Integrate</x:v>
      </x:c>
      <x:c r="H133" s="84" t="str">
        <x:v>ProjectOS Execution and Delivery Management</x:v>
      </x:c>
      <x:c r="I133" s="84" t="str">
        <x:v>Project Manager</x:v>
      </x:c>
      <x:c r="J133" s="85" t="str">
        <x:v>Demonstration</x:v>
      </x:c>
      <x:c r="K133" s="85" t="str">
        <x:v>Proposed</x:v>
      </x:c>
      <x:c r="L133" s="84" t="str"/>
      <x:c r="M133" s="84" t="str"/>
      <x:c r="N133" s="84" t="str"/>
      <x:c r="O133" s="84" t="str"/>
      <x:c r="P133" s="84" t="str"/>
      <x:c r="Q133" s="84" t="str"/>
      <x:c r="R133" s="84" t="str"/>
      <x:c r="S133" s="84" t="str"/>
      <x:c r="T133" s="84" t="str"/>
    </x:row>
    <x:row r="134" ht="44" customHeight="1">
      <x:c r="A134" s="83" t="str">
        <x:v>PRJ-019</x:v>
      </x:c>
      <x:c r="B134" s="84" t="str">
        <x:v>ProjectOS Execution and Delivery Management</x:v>
      </x:c>
      <x:c r="C134" s="84" t="str">
        <x:v>Project closure</x:v>
      </x:c>
      <x:c r="D134" s="84" t="str">
        <x:v>Closure shall verify deliverable acceptance, financial reconciliation, resource release, records disposition, lessons learned, unresolved actions, benefit ownership, and transition to operations.</x:v>
      </x:c>
      <x:c r="E134" s="85" t="str">
        <x:v>Must</x:v>
      </x:c>
      <x:c r="F134" s="85" t="str">
        <x:v>2</x:v>
      </x:c>
      <x:c r="G134" s="85" t="str">
        <x:v>Configure</x:v>
      </x:c>
      <x:c r="H134" s="84" t="str">
        <x:v>ProjectOS Execution and Delivery Management</x:v>
      </x:c>
      <x:c r="I134" s="84" t="str">
        <x:v>Project Manager</x:v>
      </x:c>
      <x:c r="J134" s="85" t="str">
        <x:v>Demonstration</x:v>
      </x:c>
      <x:c r="K134" s="85" t="str">
        <x:v>Proposed</x:v>
      </x:c>
      <x:c r="L134" s="84" t="str"/>
      <x:c r="M134" s="84" t="str"/>
      <x:c r="N134" s="84" t="str"/>
      <x:c r="O134" s="84" t="str"/>
      <x:c r="P134" s="84" t="str"/>
      <x:c r="Q134" s="84" t="str"/>
      <x:c r="R134" s="84" t="str"/>
      <x:c r="S134" s="84" t="str"/>
      <x:c r="T134" s="84" t="str"/>
    </x:row>
    <x:row r="135" ht="44" customHeight="1">
      <x:c r="A135" s="83" t="str">
        <x:v>PRJ-020</x:v>
      </x:c>
      <x:c r="B135" s="84" t="str">
        <x:v>ProjectOS Execution and Delivery Management</x:v>
      </x:c>
      <x:c r="C135" s="84" t="str">
        <x:v>Mobile and tablet execution</x:v>
      </x:c>
      <x:c r="D135" s="84" t="str">
        <x:v>Authorized users shall review status, update tasks, approve actions, and access essential project information on supported tablets and mobile browsers.</x:v>
      </x:c>
      <x:c r="E135" s="85" t="str">
        <x:v>Must</x:v>
      </x:c>
      <x:c r="F135" s="85" t="str">
        <x:v>2</x:v>
      </x:c>
      <x:c r="G135" s="85" t="str">
        <x:v>Configure</x:v>
      </x:c>
      <x:c r="H135" s="84" t="str">
        <x:v>ProjectOS Execution and Delivery Management</x:v>
      </x:c>
      <x:c r="I135" s="84" t="str">
        <x:v>Product Owner</x:v>
      </x:c>
      <x:c r="J135" s="85" t="str">
        <x:v>Demonstration</x:v>
      </x:c>
      <x:c r="K135" s="85" t="str">
        <x:v>Proposed</x:v>
      </x:c>
      <x:c r="L135" s="84" t="str"/>
      <x:c r="M135" s="84" t="str"/>
      <x:c r="N135" s="84" t="str"/>
      <x:c r="O135" s="84" t="str"/>
      <x:c r="P135" s="84" t="str"/>
      <x:c r="Q135" s="84" t="str"/>
      <x:c r="R135" s="84" t="str"/>
      <x:c r="S135" s="84" t="str"/>
      <x:c r="T135" s="84" t="str"/>
    </x:row>
    <x:row r="136" ht="44" customHeight="1">
      <x:c r="A136" s="83" t="str">
        <x:v>PRJ-021</x:v>
      </x:c>
      <x:c r="B136" s="84" t="str">
        <x:v>ProjectOS Execution and Delivery Management</x:v>
      </x:c>
      <x:c r="C136" s="84" t="str">
        <x:v>ProjectOS interoperability</x:v>
      </x:c>
      <x:c r="D136" s="84" t="str">
        <x:v>The enterprise portfolio platform and ProjectOS shall use documented APIs and canonical identifiers so projects can be created, synchronized, reconciled, and rolled up without duplicate ownership of authoritative fields.</x:v>
      </x:c>
      <x:c r="E136" s="85" t="str">
        <x:v>Must</x:v>
      </x:c>
      <x:c r="F136" s="85" t="str">
        <x:v>1</x:v>
      </x:c>
      <x:c r="G136" s="85" t="str">
        <x:v>Integrate</x:v>
      </x:c>
      <x:c r="H136" s="84" t="str">
        <x:v>ProjectOS Execution and Delivery Management</x:v>
      </x:c>
      <x:c r="I136" s="84" t="str">
        <x:v>Integration Owner</x:v>
      </x:c>
      <x:c r="J136" s="85" t="str">
        <x:v>Demonstration</x:v>
      </x:c>
      <x:c r="K136" s="85" t="str">
        <x:v>Proposed</x:v>
      </x:c>
      <x:c r="L136" s="84" t="str"/>
      <x:c r="M136" s="84" t="str"/>
      <x:c r="N136" s="84" t="str"/>
      <x:c r="O136" s="84" t="str"/>
      <x:c r="P136" s="84" t="str"/>
      <x:c r="Q136" s="84" t="str"/>
      <x:c r="R136" s="84" t="str"/>
      <x:c r="S136" s="84" t="str"/>
      <x:c r="T136" s="84" t="str"/>
    </x:row>
    <x:row r="137" ht="44" customHeight="1">
      <x:c r="A137" s="83" t="str">
        <x:v>PRJ-022</x:v>
      </x:c>
      <x:c r="B137" s="84" t="str">
        <x:v>ProjectOS Execution and Delivery Management</x:v>
      </x:c>
      <x:c r="C137" s="84" t="str">
        <x:v>Schedule-state comparison</x:v>
      </x:c>
      <x:c r="D137" s="84" t="str">
        <x:v>Project and program schedules shall distinguish approved baseline, current plan, actual dates, and forecast dates and shall calculate variance at task, milestone, workstream, project, and program levels.</x:v>
      </x:c>
      <x:c r="E137" s="85" t="str">
        <x:v>Must</x:v>
      </x:c>
      <x:c r="F137" s="85" t="str">
        <x:v>2</x:v>
      </x:c>
      <x:c r="G137" s="85" t="str">
        <x:v>Integrate</x:v>
      </x:c>
      <x:c r="H137" s="84" t="str">
        <x:v>ProjectOS Execution and Delivery Management</x:v>
      </x:c>
      <x:c r="I137" s="84" t="str">
        <x:v>Project Manager</x:v>
      </x:c>
      <x:c r="J137" s="85" t="str">
        <x:v>Demonstration</x:v>
      </x:c>
      <x:c r="K137" s="85" t="str">
        <x:v>Proposed</x:v>
      </x:c>
      <x:c r="L137" s="84" t="str"/>
      <x:c r="M137" s="84" t="str"/>
      <x:c r="N137" s="84" t="str"/>
      <x:c r="O137" s="84" t="str"/>
      <x:c r="P137" s="84" t="str"/>
      <x:c r="Q137" s="84" t="str"/>
      <x:c r="R137" s="84" t="str"/>
      <x:c r="S137" s="84" t="str"/>
      <x:c r="T137" s="84" t="str"/>
    </x:row>
    <x:row r="138" ht="44" customHeight="1">
      <x:c r="A138" s="83" t="str">
        <x:v>RES-001</x:v>
      </x:c>
      <x:c r="B138" s="84" t="str">
        <x:v>People, Capacity, Skills, and Role Management</x:v>
      </x:c>
      <x:c r="C138" s="84" t="str">
        <x:v>Resource catalog</x:v>
      </x:c>
      <x:c r="D138" s="84" t="str">
        <x:v>The platform shall maintain authorized resource records for government civilians, military personnel, contractors, shared services, teams, positions, vacancies, and non-labor resources needed for planning.</x:v>
      </x:c>
      <x:c r="E138" s="85" t="str">
        <x:v>Must</x:v>
      </x:c>
      <x:c r="F138" s="85" t="str">
        <x:v>3</x:v>
      </x:c>
      <x:c r="G138" s="85" t="str">
        <x:v>Configure</x:v>
      </x:c>
      <x:c r="H138" s="84" t="str">
        <x:v>People, Capacity, Skills, and Role Management</x:v>
      </x:c>
      <x:c r="I138" s="84" t="str">
        <x:v>Workforce Manager</x:v>
      </x:c>
      <x:c r="J138" s="85" t="str">
        <x:v>Demonstration</x:v>
      </x:c>
      <x:c r="K138" s="85" t="str">
        <x:v>Proposed</x:v>
      </x:c>
      <x:c r="L138" s="84" t="str"/>
      <x:c r="M138" s="84" t="str"/>
      <x:c r="N138" s="84" t="str"/>
      <x:c r="O138" s="84" t="str"/>
      <x:c r="P138" s="84" t="str"/>
      <x:c r="Q138" s="84" t="str"/>
      <x:c r="R138" s="84" t="str"/>
      <x:c r="S138" s="84" t="str"/>
      <x:c r="T138" s="84" t="str"/>
    </x:row>
    <x:row r="139" ht="44" customHeight="1">
      <x:c r="A139" s="83" t="str">
        <x:v>RES-002</x:v>
      </x:c>
      <x:c r="B139" s="84" t="str">
        <x:v>People, Capacity, Skills, and Role Management</x:v>
      </x:c>
      <x:c r="C139" s="84" t="str">
        <x:v>Privacy-separated workforce data</x:v>
      </x:c>
      <x:c r="D139" s="84" t="str">
        <x:v>The planning model shall use only the minimum workforce attributes needed for portfolio decisions and shall separate restricted personnel data from broadly visible capacity information.</x:v>
      </x:c>
      <x:c r="E139" s="85" t="str">
        <x:v>Must</x:v>
      </x:c>
      <x:c r="F139" s="85" t="str">
        <x:v>3</x:v>
      </x:c>
      <x:c r="G139" s="85" t="str">
        <x:v>Configure</x:v>
      </x:c>
      <x:c r="H139" s="84" t="str">
        <x:v>People, Capacity, Skills, and Role Management</x:v>
      </x:c>
      <x:c r="I139" s="84" t="str">
        <x:v>Privacy Officer</x:v>
      </x:c>
      <x:c r="J139" s="85" t="str">
        <x:v>Demonstration</x:v>
      </x:c>
      <x:c r="K139" s="85" t="str">
        <x:v>Proposed</x:v>
      </x:c>
      <x:c r="L139" s="84" t="str"/>
      <x:c r="M139" s="84" t="str"/>
      <x:c r="N139" s="84" t="str"/>
      <x:c r="O139" s="84" t="str"/>
      <x:c r="P139" s="84" t="str"/>
      <x:c r="Q139" s="84" t="str"/>
      <x:c r="R139" s="84" t="str"/>
      <x:c r="S139" s="84" t="str"/>
      <x:c r="T139" s="84" t="str"/>
    </x:row>
    <x:row r="140" ht="44" customHeight="1">
      <x:c r="A140" s="83" t="str">
        <x:v>RES-003</x:v>
      </x:c>
      <x:c r="B140" s="84" t="str">
        <x:v>People, Capacity, Skills, and Role Management</x:v>
      </x:c>
      <x:c r="C140" s="84" t="str">
        <x:v>Capacity calendars</x:v>
      </x:c>
      <x:c r="D140" s="84" t="str">
        <x:v>Resource capacity shall account for work schedules, leave assumptions, holidays, training, administrative overhead, duty restrictions, mobilizations, vacancies, and configurable productive-capacity factors.</x:v>
      </x:c>
      <x:c r="E140" s="85" t="str">
        <x:v>Must</x:v>
      </x:c>
      <x:c r="F140" s="85" t="str">
        <x:v>3</x:v>
      </x:c>
      <x:c r="G140" s="85" t="str">
        <x:v>Configure</x:v>
      </x:c>
      <x:c r="H140" s="84" t="str">
        <x:v>People, Capacity, Skills, and Role Management</x:v>
      </x:c>
      <x:c r="I140" s="84" t="str">
        <x:v>Resource Manager</x:v>
      </x:c>
      <x:c r="J140" s="85" t="str">
        <x:v>Demonstration</x:v>
      </x:c>
      <x:c r="K140" s="85" t="str">
        <x:v>Proposed</x:v>
      </x:c>
      <x:c r="L140" s="84" t="str"/>
      <x:c r="M140" s="84" t="str"/>
      <x:c r="N140" s="84" t="str"/>
      <x:c r="O140" s="84" t="str"/>
      <x:c r="P140" s="84" t="str"/>
      <x:c r="Q140" s="84" t="str"/>
      <x:c r="R140" s="84" t="str"/>
      <x:c r="S140" s="84" t="str"/>
      <x:c r="T140" s="84" t="str"/>
    </x:row>
    <x:row r="141" ht="44" customHeight="1">
      <x:c r="A141" s="83" t="str">
        <x:v>RES-004</x:v>
      </x:c>
      <x:c r="B141" s="84" t="str">
        <x:v>People, Capacity, Skills, and Role Management</x:v>
      </x:c>
      <x:c r="C141" s="84" t="str">
        <x:v>Allocation by time period</x:v>
      </x:c>
      <x:c r="D141" s="84" t="str">
        <x:v>Managers shall allocate resources to projects and core functions by person, role, team, skill, percentage, hours, or FTE across weeks, months, quarters, and fiscal years.</x:v>
      </x:c>
      <x:c r="E141" s="85" t="str">
        <x:v>Must</x:v>
      </x:c>
      <x:c r="F141" s="85" t="str">
        <x:v>3</x:v>
      </x:c>
      <x:c r="G141" s="85" t="str">
        <x:v>Likely OOTB</x:v>
      </x:c>
      <x:c r="H141" s="84" t="str">
        <x:v>People, Capacity, Skills, and Role Management</x:v>
      </x:c>
      <x:c r="I141" s="84" t="str">
        <x:v>Resource Manager</x:v>
      </x:c>
      <x:c r="J141" s="85" t="str">
        <x:v>Demonstration</x:v>
      </x:c>
      <x:c r="K141" s="85" t="str">
        <x:v>Proposed</x:v>
      </x:c>
      <x:c r="L141" s="84" t="str"/>
      <x:c r="M141" s="84" t="str"/>
      <x:c r="N141" s="84" t="str"/>
      <x:c r="O141" s="84" t="str"/>
      <x:c r="P141" s="84" t="str"/>
      <x:c r="Q141" s="84" t="str"/>
      <x:c r="R141" s="84" t="str"/>
      <x:c r="S141" s="84" t="str"/>
      <x:c r="T141" s="84" t="str"/>
    </x:row>
    <x:row r="142" ht="44" customHeight="1">
      <x:c r="A142" s="83" t="str">
        <x:v>RES-005</x:v>
      </x:c>
      <x:c r="B142" s="84" t="str">
        <x:v>People, Capacity, Skills, and Role Management</x:v>
      </x:c>
      <x:c r="C142" s="84" t="str">
        <x:v>Planned versus actual effort</x:v>
      </x:c>
      <x:c r="D142" s="84" t="str">
        <x:v>The platform shall compare planned allocation, approved capacity, committed effort, and actual effort by person, role, team, division, project, core function, and time period.</x:v>
      </x:c>
      <x:c r="E142" s="85" t="str">
        <x:v>Must</x:v>
      </x:c>
      <x:c r="F142" s="85" t="str">
        <x:v>3</x:v>
      </x:c>
      <x:c r="G142" s="85" t="str">
        <x:v>Configure</x:v>
      </x:c>
      <x:c r="H142" s="84" t="str">
        <x:v>People, Capacity, Skills, and Role Management</x:v>
      </x:c>
      <x:c r="I142" s="84" t="str">
        <x:v>Resource Manager</x:v>
      </x:c>
      <x:c r="J142" s="85" t="str">
        <x:v>Demonstration</x:v>
      </x:c>
      <x:c r="K142" s="85" t="str">
        <x:v>Proposed</x:v>
      </x:c>
      <x:c r="L142" s="84" t="str"/>
      <x:c r="M142" s="84" t="str"/>
      <x:c r="N142" s="84" t="str"/>
      <x:c r="O142" s="84" t="str"/>
      <x:c r="P142" s="84" t="str"/>
      <x:c r="Q142" s="84" t="str"/>
      <x:c r="R142" s="84" t="str"/>
      <x:c r="S142" s="84" t="str"/>
      <x:c r="T142" s="84" t="str"/>
    </x:row>
    <x:row r="143" ht="44" customHeight="1">
      <x:c r="A143" s="83" t="str">
        <x:v>RES-006</x:v>
      </x:c>
      <x:c r="B143" s="84" t="str">
        <x:v>People, Capacity, Skills, and Role Management</x:v>
      </x:c>
      <x:c r="C143" s="84" t="str">
        <x:v>Over-allocation detection</x:v>
      </x:c>
      <x:c r="D143" s="84" t="str">
        <x:v>The platform shall identify over-allocation, double booking, insufficient coverage, and underutilization using configurable thresholds and notify responsible managers.</x:v>
      </x:c>
      <x:c r="E143" s="85" t="str">
        <x:v>Must</x:v>
      </x:c>
      <x:c r="F143" s="85" t="str">
        <x:v>3</x:v>
      </x:c>
      <x:c r="G143" s="85" t="str">
        <x:v>Configure</x:v>
      </x:c>
      <x:c r="H143" s="84" t="str">
        <x:v>People, Capacity, Skills, and Role Management</x:v>
      </x:c>
      <x:c r="I143" s="84" t="str">
        <x:v>Resource Manager</x:v>
      </x:c>
      <x:c r="J143" s="85" t="str">
        <x:v>Demonstration</x:v>
      </x:c>
      <x:c r="K143" s="85" t="str">
        <x:v>Proposed</x:v>
      </x:c>
      <x:c r="L143" s="84" t="str"/>
      <x:c r="M143" s="84" t="str"/>
      <x:c r="N143" s="84" t="str"/>
      <x:c r="O143" s="84" t="str"/>
      <x:c r="P143" s="84" t="str"/>
      <x:c r="Q143" s="84" t="str"/>
      <x:c r="R143" s="84" t="str"/>
      <x:c r="S143" s="84" t="str"/>
      <x:c r="T143" s="84" t="str"/>
    </x:row>
    <x:row r="144" ht="44" customHeight="1">
      <x:c r="A144" s="83" t="str">
        <x:v>RES-007</x:v>
      </x:c>
      <x:c r="B144" s="84" t="str">
        <x:v>People, Capacity, Skills, and Role Management</x:v>
      </x:c>
      <x:c r="C144" s="84" t="str">
        <x:v>Role-based planning</x:v>
      </x:c>
      <x:c r="D144" s="84" t="str">
        <x:v>Planning shall be possible using generic roles or teams before named personnel are selected, with later fulfillment tracking.</x:v>
      </x:c>
      <x:c r="E144" s="85" t="str">
        <x:v>Must</x:v>
      </x:c>
      <x:c r="F144" s="85" t="str">
        <x:v>3</x:v>
      </x:c>
      <x:c r="G144" s="85" t="str">
        <x:v>Configure</x:v>
      </x:c>
      <x:c r="H144" s="84" t="str">
        <x:v>People, Capacity, Skills, and Role Management</x:v>
      </x:c>
      <x:c r="I144" s="84" t="str">
        <x:v>Resource Manager</x:v>
      </x:c>
      <x:c r="J144" s="85" t="str">
        <x:v>Demonstration</x:v>
      </x:c>
      <x:c r="K144" s="85" t="str">
        <x:v>Proposed</x:v>
      </x:c>
      <x:c r="L144" s="84" t="str"/>
      <x:c r="M144" s="84" t="str"/>
      <x:c r="N144" s="84" t="str"/>
      <x:c r="O144" s="84" t="str"/>
      <x:c r="P144" s="84" t="str"/>
      <x:c r="Q144" s="84" t="str"/>
      <x:c r="R144" s="84" t="str"/>
      <x:c r="S144" s="84" t="str"/>
      <x:c r="T144" s="84" t="str"/>
    </x:row>
    <x:row r="145" ht="44" customHeight="1">
      <x:c r="A145" s="83" t="str">
        <x:v>RES-008</x:v>
      </x:c>
      <x:c r="B145" s="84" t="str">
        <x:v>People, Capacity, Skills, and Role Management</x:v>
      </x:c>
      <x:c r="C145" s="84" t="str">
        <x:v>Skill taxonomy</x:v>
      </x:c>
      <x:c r="D145" s="84" t="str">
        <x:v>The platform shall maintain a governed taxonomy of skills, competencies, specialties, certifications, clearances or access prerequisites, proficiency levels, and currency dates.</x:v>
      </x:c>
      <x:c r="E145" s="85" t="str">
        <x:v>Must</x:v>
      </x:c>
      <x:c r="F145" s="85" t="str">
        <x:v>3</x:v>
      </x:c>
      <x:c r="G145" s="85" t="str">
        <x:v>Extend</x:v>
      </x:c>
      <x:c r="H145" s="84" t="str">
        <x:v>People, Capacity, Skills, and Role Management</x:v>
      </x:c>
      <x:c r="I145" s="84" t="str">
        <x:v>Workforce Manager</x:v>
      </x:c>
      <x:c r="J145" s="85" t="str">
        <x:v>Demonstration</x:v>
      </x:c>
      <x:c r="K145" s="85" t="str">
        <x:v>Proposed</x:v>
      </x:c>
      <x:c r="L145" s="84" t="str"/>
      <x:c r="M145" s="84" t="str"/>
      <x:c r="N145" s="84" t="str"/>
      <x:c r="O145" s="84" t="str"/>
      <x:c r="P145" s="84" t="str"/>
      <x:c r="Q145" s="84" t="str"/>
      <x:c r="R145" s="84" t="str"/>
      <x:c r="S145" s="84" t="str"/>
      <x:c r="T145" s="84" t="str"/>
    </x:row>
    <x:row r="146" ht="44" customHeight="1">
      <x:c r="A146" s="83" t="str">
        <x:v>RES-009</x:v>
      </x:c>
      <x:c r="B146" s="84" t="str">
        <x:v>People, Capacity, Skills, and Role Management</x:v>
      </x:c>
      <x:c r="C146" s="84" t="str">
        <x:v>Skill profiles</x:v>
      </x:c>
      <x:c r="D146" s="84" t="str">
        <x:v>Authorized users shall maintain validated skill profiles for personnel and teams, including proficiency, evidence source, last validated date, and development interests where permitted.</x:v>
      </x:c>
      <x:c r="E146" s="85" t="str">
        <x:v>Must</x:v>
      </x:c>
      <x:c r="F146" s="85" t="str">
        <x:v>3</x:v>
      </x:c>
      <x:c r="G146" s="85" t="str">
        <x:v>Configure</x:v>
      </x:c>
      <x:c r="H146" s="84" t="str">
        <x:v>People, Capacity, Skills, and Role Management</x:v>
      </x:c>
      <x:c r="I146" s="84" t="str">
        <x:v>Workforce Manager</x:v>
      </x:c>
      <x:c r="J146" s="85" t="str">
        <x:v>Demonstration</x:v>
      </x:c>
      <x:c r="K146" s="85" t="str">
        <x:v>Proposed</x:v>
      </x:c>
      <x:c r="L146" s="84" t="str"/>
      <x:c r="M146" s="84" t="str"/>
      <x:c r="N146" s="84" t="str"/>
      <x:c r="O146" s="84" t="str"/>
      <x:c r="P146" s="84" t="str"/>
      <x:c r="Q146" s="84" t="str"/>
      <x:c r="R146" s="84" t="str"/>
      <x:c r="S146" s="84" t="str"/>
      <x:c r="T146" s="84" t="str"/>
    </x:row>
    <x:row r="147" ht="44" customHeight="1">
      <x:c r="A147" s="83" t="str">
        <x:v>RES-010</x:v>
      </x:c>
      <x:c r="B147" s="84" t="str">
        <x:v>People, Capacity, Skills, and Role Management</x:v>
      </x:c>
      <x:c r="C147" s="84" t="str">
        <x:v>Skill demand</x:v>
      </x:c>
      <x:c r="D147" s="84" t="str">
        <x:v>Projects and core functions shall specify required roles, skills, proficiency, quantity, duration, location, access, and desired start date.</x:v>
      </x:c>
      <x:c r="E147" s="85" t="str">
        <x:v>Must</x:v>
      </x:c>
      <x:c r="F147" s="85" t="str">
        <x:v>3</x:v>
      </x:c>
      <x:c r="G147" s="85" t="str">
        <x:v>Configure</x:v>
      </x:c>
      <x:c r="H147" s="84" t="str">
        <x:v>People, Capacity, Skills, and Role Management</x:v>
      </x:c>
      <x:c r="I147" s="84" t="str">
        <x:v>Project Manager</x:v>
      </x:c>
      <x:c r="J147" s="85" t="str">
        <x:v>Demonstration</x:v>
      </x:c>
      <x:c r="K147" s="85" t="str">
        <x:v>Proposed</x:v>
      </x:c>
      <x:c r="L147" s="84" t="str"/>
      <x:c r="M147" s="84" t="str"/>
      <x:c r="N147" s="84" t="str"/>
      <x:c r="O147" s="84" t="str"/>
      <x:c r="P147" s="84" t="str"/>
      <x:c r="Q147" s="84" t="str"/>
      <x:c r="R147" s="84" t="str"/>
      <x:c r="S147" s="84" t="str"/>
      <x:c r="T147" s="84" t="str"/>
    </x:row>
    <x:row r="148" ht="44" customHeight="1">
      <x:c r="A148" s="83" t="str">
        <x:v>RES-011</x:v>
      </x:c>
      <x:c r="B148" s="84" t="str">
        <x:v>People, Capacity, Skills, and Role Management</x:v>
      </x:c>
      <x:c r="C148" s="84" t="str">
        <x:v>Skill-gap analysis</x:v>
      </x:c>
      <x:c r="D148" s="84" t="str">
        <x:v>The platform shall compare current and forecast skill supply to approved and prospective demand by division and enterprise and show size, timing, and mission impact of gaps.</x:v>
      </x:c>
      <x:c r="E148" s="85" t="str">
        <x:v>Must</x:v>
      </x:c>
      <x:c r="F148" s="85" t="str">
        <x:v>3</x:v>
      </x:c>
      <x:c r="G148" s="85" t="str">
        <x:v>Extend</x:v>
      </x:c>
      <x:c r="H148" s="84" t="str">
        <x:v>People, Capacity, Skills, and Role Management</x:v>
      </x:c>
      <x:c r="I148" s="84" t="str">
        <x:v>Workforce Manager</x:v>
      </x:c>
      <x:c r="J148" s="85" t="str">
        <x:v>Demonstration</x:v>
      </x:c>
      <x:c r="K148" s="85" t="str">
        <x:v>Proposed</x:v>
      </x:c>
      <x:c r="L148" s="84" t="str"/>
      <x:c r="M148" s="84" t="str"/>
      <x:c r="N148" s="84" t="str"/>
      <x:c r="O148" s="84" t="str"/>
      <x:c r="P148" s="84" t="str"/>
      <x:c r="Q148" s="84" t="str"/>
      <x:c r="R148" s="84" t="str"/>
      <x:c r="S148" s="84" t="str"/>
      <x:c r="T148" s="84" t="str"/>
    </x:row>
    <x:row r="149" ht="44" customHeight="1">
      <x:c r="A149" s="83" t="str">
        <x:v>RES-012</x:v>
      </x:c>
      <x:c r="B149" s="84" t="str">
        <x:v>People, Capacity, Skills, and Role Management</x:v>
      </x:c>
      <x:c r="C149" s="84" t="str">
        <x:v>Resource request workflow</x:v>
      </x:c>
      <x:c r="D149" s="84" t="str">
        <x:v>Project managers shall request named or role-based resources, and resource managers shall propose, approve, partially fulfill, decline, substitute, or schedule fulfillment.</x:v>
      </x:c>
      <x:c r="E149" s="85" t="str">
        <x:v>Must</x:v>
      </x:c>
      <x:c r="F149" s="85" t="str">
        <x:v>3</x:v>
      </x:c>
      <x:c r="G149" s="85" t="str">
        <x:v>Configure</x:v>
      </x:c>
      <x:c r="H149" s="84" t="str">
        <x:v>People, Capacity, Skills, and Role Management</x:v>
      </x:c>
      <x:c r="I149" s="84" t="str">
        <x:v>Resource Manager</x:v>
      </x:c>
      <x:c r="J149" s="85" t="str">
        <x:v>Demonstration</x:v>
      </x:c>
      <x:c r="K149" s="85" t="str">
        <x:v>Proposed</x:v>
      </x:c>
      <x:c r="L149" s="84" t="str"/>
      <x:c r="M149" s="84" t="str"/>
      <x:c r="N149" s="84" t="str"/>
      <x:c r="O149" s="84" t="str"/>
      <x:c r="P149" s="84" t="str"/>
      <x:c r="Q149" s="84" t="str"/>
      <x:c r="R149" s="84" t="str"/>
      <x:c r="S149" s="84" t="str"/>
      <x:c r="T149" s="84" t="str"/>
    </x:row>
    <x:row r="150" ht="44" customHeight="1">
      <x:c r="A150" s="83" t="str">
        <x:v>RES-013</x:v>
      </x:c>
      <x:c r="B150" s="84" t="str">
        <x:v>People, Capacity, Skills, and Role Management</x:v>
      </x:c>
      <x:c r="C150" s="84" t="str">
        <x:v>Commitment confidence</x:v>
      </x:c>
      <x:c r="D150" s="84" t="str">
        <x:v>Resource commitments shall include status and confidence, distinguishing requested, soft-booked, committed, assigned, onboarded, and released resources.</x:v>
      </x:c>
      <x:c r="E150" s="85" t="str">
        <x:v>Must</x:v>
      </x:c>
      <x:c r="F150" s="85" t="str">
        <x:v>3</x:v>
      </x:c>
      <x:c r="G150" s="85" t="str">
        <x:v>Configure</x:v>
      </x:c>
      <x:c r="H150" s="84" t="str">
        <x:v>People, Capacity, Skills, and Role Management</x:v>
      </x:c>
      <x:c r="I150" s="84" t="str">
        <x:v>Resource Manager</x:v>
      </x:c>
      <x:c r="J150" s="85" t="str">
        <x:v>Demonstration</x:v>
      </x:c>
      <x:c r="K150" s="85" t="str">
        <x:v>Proposed</x:v>
      </x:c>
      <x:c r="L150" s="84" t="str"/>
      <x:c r="M150" s="84" t="str"/>
      <x:c r="N150" s="84" t="str"/>
      <x:c r="O150" s="84" t="str"/>
      <x:c r="P150" s="84" t="str"/>
      <x:c r="Q150" s="84" t="str"/>
      <x:c r="R150" s="84" t="str"/>
      <x:c r="S150" s="84" t="str"/>
      <x:c r="T150" s="84" t="str"/>
    </x:row>
    <x:row r="151" ht="44" customHeight="1">
      <x:c r="A151" s="83" t="str">
        <x:v>RES-014</x:v>
      </x:c>
      <x:c r="B151" s="84" t="str">
        <x:v>People, Capacity, Skills, and Role Management</x:v>
      </x:c>
      <x:c r="C151" s="84" t="str">
        <x:v>Vacancy and hiring impact</x:v>
      </x:c>
      <x:c r="D151" s="84" t="str">
        <x:v>The platform shall represent vacancies, anticipated losses, hiring or contract actions, expected onboarding dates, and the portfolio impact if dates change.</x:v>
      </x:c>
      <x:c r="E151" s="85" t="str">
        <x:v>Must</x:v>
      </x:c>
      <x:c r="F151" s="85" t="str">
        <x:v>4</x:v>
      </x:c>
      <x:c r="G151" s="85" t="str">
        <x:v>Extend</x:v>
      </x:c>
      <x:c r="H151" s="84" t="str">
        <x:v>People, Capacity, Skills, and Role Management</x:v>
      </x:c>
      <x:c r="I151" s="84" t="str">
        <x:v>Workforce Manager</x:v>
      </x:c>
      <x:c r="J151" s="85" t="str">
        <x:v>Demonstration</x:v>
      </x:c>
      <x:c r="K151" s="85" t="str">
        <x:v>Proposed</x:v>
      </x:c>
      <x:c r="L151" s="84" t="str"/>
      <x:c r="M151" s="84" t="str"/>
      <x:c r="N151" s="84" t="str"/>
      <x:c r="O151" s="84" t="str"/>
      <x:c r="P151" s="84" t="str"/>
      <x:c r="Q151" s="84" t="str"/>
      <x:c r="R151" s="84" t="str"/>
      <x:c r="S151" s="84" t="str"/>
      <x:c r="T151" s="84" t="str"/>
    </x:row>
    <x:row r="152" ht="44" customHeight="1">
      <x:c r="A152" s="83" t="str">
        <x:v>RES-015</x:v>
      </x:c>
      <x:c r="B152" s="84" t="str">
        <x:v>People, Capacity, Skills, and Role Management</x:v>
      </x:c>
      <x:c r="C152" s="84" t="str">
        <x:v>Contingent and contractor resources</x:v>
      </x:c>
      <x:c r="D152" s="84" t="str">
        <x:v>Planning shall distinguish government, military, contractor, and external partner resources and capture contract period, ceiling or capacity, labor category, and funding constraints as authorized.</x:v>
      </x:c>
      <x:c r="E152" s="85" t="str">
        <x:v>Must</x:v>
      </x:c>
      <x:c r="F152" s="85" t="str">
        <x:v>3</x:v>
      </x:c>
      <x:c r="G152" s="85" t="str">
        <x:v>Configure</x:v>
      </x:c>
      <x:c r="H152" s="84" t="str">
        <x:v>People, Capacity, Skills, and Role Management</x:v>
      </x:c>
      <x:c r="I152" s="84" t="str">
        <x:v>Resource Manager</x:v>
      </x:c>
      <x:c r="J152" s="85" t="str">
        <x:v>Demonstration</x:v>
      </x:c>
      <x:c r="K152" s="85" t="str">
        <x:v>Proposed</x:v>
      </x:c>
      <x:c r="L152" s="84" t="str"/>
      <x:c r="M152" s="84" t="str"/>
      <x:c r="N152" s="84" t="str"/>
      <x:c r="O152" s="84" t="str"/>
      <x:c r="P152" s="84" t="str"/>
      <x:c r="Q152" s="84" t="str"/>
      <x:c r="R152" s="84" t="str"/>
      <x:c r="S152" s="84" t="str"/>
      <x:c r="T152" s="84" t="str"/>
    </x:row>
    <x:row r="153" ht="44" customHeight="1">
      <x:c r="A153" s="83" t="str">
        <x:v>RES-016</x:v>
      </x:c>
      <x:c r="B153" s="84" t="str">
        <x:v>People, Capacity, Skills, and Role Management</x:v>
      </x:c>
      <x:c r="C153" s="84" t="str">
        <x:v>Critical-role succession</x:v>
      </x:c>
      <x:c r="D153" s="84" t="str">
        <x:v>Leaders shall identify single points of failure, critical roles without backups, and projects or functions at risk from anticipated personnel changes.</x:v>
      </x:c>
      <x:c r="E153" s="85" t="str">
        <x:v>Must</x:v>
      </x:c>
      <x:c r="F153" s="85" t="str">
        <x:v>4</x:v>
      </x:c>
      <x:c r="G153" s="85" t="str">
        <x:v>Extend</x:v>
      </x:c>
      <x:c r="H153" s="84" t="str">
        <x:v>People, Capacity, Skills, and Role Management</x:v>
      </x:c>
      <x:c r="I153" s="84" t="str">
        <x:v>Workforce Manager</x:v>
      </x:c>
      <x:c r="J153" s="85" t="str">
        <x:v>Demonstration</x:v>
      </x:c>
      <x:c r="K153" s="85" t="str">
        <x:v>Proposed</x:v>
      </x:c>
      <x:c r="L153" s="84" t="str"/>
      <x:c r="M153" s="84" t="str"/>
      <x:c r="N153" s="84" t="str"/>
      <x:c r="O153" s="84" t="str"/>
      <x:c r="P153" s="84" t="str"/>
      <x:c r="Q153" s="84" t="str"/>
      <x:c r="R153" s="84" t="str"/>
      <x:c r="S153" s="84" t="str"/>
      <x:c r="T153" s="84" t="str"/>
    </x:row>
    <x:row r="154" ht="44" customHeight="1">
      <x:c r="A154" s="83" t="str">
        <x:v>RES-017</x:v>
      </x:c>
      <x:c r="B154" s="84" t="str">
        <x:v>People, Capacity, Skills, and Role Management</x:v>
      </x:c>
      <x:c r="C154" s="84" t="str">
        <x:v>Training and development demand</x:v>
      </x:c>
      <x:c r="D154" s="84" t="str">
        <x:v>Approved skill gaps may generate linked training, hiring, contracting, detail, or partnership actions with cost, owner, and expected readiness date.</x:v>
      </x:c>
      <x:c r="E154" s="85" t="str">
        <x:v>Must</x:v>
      </x:c>
      <x:c r="F154" s="85" t="str">
        <x:v>4</x:v>
      </x:c>
      <x:c r="G154" s="85" t="str">
        <x:v>Extend</x:v>
      </x:c>
      <x:c r="H154" s="84" t="str">
        <x:v>People, Capacity, Skills, and Role Management</x:v>
      </x:c>
      <x:c r="I154" s="84" t="str">
        <x:v>Workforce Manager</x:v>
      </x:c>
      <x:c r="J154" s="85" t="str">
        <x:v>Demonstration</x:v>
      </x:c>
      <x:c r="K154" s="85" t="str">
        <x:v>Proposed</x:v>
      </x:c>
      <x:c r="L154" s="84" t="str"/>
      <x:c r="M154" s="84" t="str"/>
      <x:c r="N154" s="84" t="str"/>
      <x:c r="O154" s="84" t="str"/>
      <x:c r="P154" s="84" t="str"/>
      <x:c r="Q154" s="84" t="str"/>
      <x:c r="R154" s="84" t="str"/>
      <x:c r="S154" s="84" t="str"/>
      <x:c r="T154" s="84" t="str"/>
    </x:row>
    <x:row r="155" ht="44" customHeight="1">
      <x:c r="A155" s="83" t="str">
        <x:v>RES-018</x:v>
      </x:c>
      <x:c r="B155" s="84" t="str">
        <x:v>People, Capacity, Skills, and Role Management</x:v>
      </x:c>
      <x:c r="C155" s="84" t="str">
        <x:v>Resource optimization</x:v>
      </x:c>
      <x:c r="D155" s="84" t="str">
        <x:v>The platform shall recommend feasible resource reassignments or schedule changes based on priorities, skills, availability, constraints, and minimum staffing rules, subject to human approval.</x:v>
      </x:c>
      <x:c r="E155" s="85" t="str">
        <x:v>Must</x:v>
      </x:c>
      <x:c r="F155" s="85" t="str">
        <x:v>5</x:v>
      </x:c>
      <x:c r="G155" s="85" t="str">
        <x:v>Extend</x:v>
      </x:c>
      <x:c r="H155" s="84" t="str">
        <x:v>People, Capacity, Skills, and Role Management</x:v>
      </x:c>
      <x:c r="I155" s="84" t="str">
        <x:v>Resource Manager</x:v>
      </x:c>
      <x:c r="J155" s="85" t="str">
        <x:v>Demonstration</x:v>
      </x:c>
      <x:c r="K155" s="85" t="str">
        <x:v>Proposed</x:v>
      </x:c>
      <x:c r="L155" s="84" t="str"/>
      <x:c r="M155" s="84" t="str"/>
      <x:c r="N155" s="84" t="str"/>
      <x:c r="O155" s="84" t="str"/>
      <x:c r="P155" s="84" t="str"/>
      <x:c r="Q155" s="84" t="str"/>
      <x:c r="R155" s="84" t="str"/>
      <x:c r="S155" s="84" t="str"/>
      <x:c r="T155" s="84" t="str"/>
    </x:row>
    <x:row r="156" ht="44" customHeight="1">
      <x:c r="A156" s="83" t="str">
        <x:v>RES-019</x:v>
      </x:c>
      <x:c r="B156" s="84" t="str">
        <x:v>People, Capacity, Skills, and Role Management</x:v>
      </x:c>
      <x:c r="C156" s="84" t="str">
        <x:v>Minimum core-function coverage</x:v>
      </x:c>
      <x:c r="D156" s="84" t="str">
        <x:v>Division leaders shall define minimum staffing and critical-skill coverage for core functions, and the platform shall warn when project assignments would violate those thresholds.</x:v>
      </x:c>
      <x:c r="E156" s="85" t="str">
        <x:v>Must</x:v>
      </x:c>
      <x:c r="F156" s="85" t="str">
        <x:v>3</x:v>
      </x:c>
      <x:c r="G156" s="85" t="str">
        <x:v>Extend</x:v>
      </x:c>
      <x:c r="H156" s="84" t="str">
        <x:v>People, Capacity, Skills, and Role Management</x:v>
      </x:c>
      <x:c r="I156" s="84" t="str">
        <x:v>Division Chief</x:v>
      </x:c>
      <x:c r="J156" s="85" t="str">
        <x:v>Demonstration</x:v>
      </x:c>
      <x:c r="K156" s="85" t="str">
        <x:v>Proposed</x:v>
      </x:c>
      <x:c r="L156" s="84" t="str"/>
      <x:c r="M156" s="84" t="str"/>
      <x:c r="N156" s="84" t="str"/>
      <x:c r="O156" s="84" t="str"/>
      <x:c r="P156" s="84" t="str"/>
      <x:c r="Q156" s="84" t="str"/>
      <x:c r="R156" s="84" t="str"/>
      <x:c r="S156" s="84" t="str"/>
      <x:c r="T156" s="84" t="str"/>
    </x:row>
    <x:row r="157" ht="44" customHeight="1">
      <x:c r="A157" s="83" t="str">
        <x:v>RES-020</x:v>
      </x:c>
      <x:c r="B157" s="84" t="str">
        <x:v>People, Capacity, Skills, and Role Management</x:v>
      </x:c>
      <x:c r="C157" s="84" t="str">
        <x:v>External contribution</x:v>
      </x:c>
      <x:c r="D157" s="84" t="str">
        <x:v>The resource plan shall capture expected and actual labor or capability contributed by external stakeholders without treating external personnel as DDC5I-owned capacity.</x:v>
      </x:c>
      <x:c r="E157" s="85" t="str">
        <x:v>Must</x:v>
      </x:c>
      <x:c r="F157" s="85" t="str">
        <x:v>3</x:v>
      </x:c>
      <x:c r="G157" s="85" t="str">
        <x:v>Extend</x:v>
      </x:c>
      <x:c r="H157" s="84" t="str">
        <x:v>People, Capacity, Skills, and Role Management</x:v>
      </x:c>
      <x:c r="I157" s="84" t="str">
        <x:v>Stakeholder Manager</x:v>
      </x:c>
      <x:c r="J157" s="85" t="str">
        <x:v>Demonstration</x:v>
      </x:c>
      <x:c r="K157" s="85" t="str">
        <x:v>Proposed</x:v>
      </x:c>
      <x:c r="L157" s="84" t="str"/>
      <x:c r="M157" s="84" t="str"/>
      <x:c r="N157" s="84" t="str"/>
      <x:c r="O157" s="84" t="str"/>
      <x:c r="P157" s="84" t="str"/>
      <x:c r="Q157" s="84" t="str"/>
      <x:c r="R157" s="84" t="str"/>
      <x:c r="S157" s="84" t="str"/>
      <x:c r="T157" s="84" t="str"/>
    </x:row>
    <x:row r="158" ht="44" customHeight="1">
      <x:c r="A158" s="83" t="str">
        <x:v>RES-021</x:v>
      </x:c>
      <x:c r="B158" s="84" t="str">
        <x:v>People, Capacity, Skills, and Role Management</x:v>
      </x:c>
      <x:c r="C158" s="84" t="str">
        <x:v>Planned and unplanned demand</x:v>
      </x:c>
      <x:c r="D158" s="84" t="str">
        <x:v>Capacity analysis shall include approved projects, recurring core functions, planned administrative work, forecast demand, and recorded unplanned or emergent work so available capacity is not overstated.</x:v>
      </x:c>
      <x:c r="E158" s="85" t="str">
        <x:v>Must</x:v>
      </x:c>
      <x:c r="F158" s="85" t="str">
        <x:v>3</x:v>
      </x:c>
      <x:c r="G158" s="85" t="str">
        <x:v>Extend</x:v>
      </x:c>
      <x:c r="H158" s="84" t="str">
        <x:v>People, Capacity, Skills, and Role Management</x:v>
      </x:c>
      <x:c r="I158" s="84" t="str">
        <x:v>Resource Manager</x:v>
      </x:c>
      <x:c r="J158" s="85" t="str">
        <x:v>Demonstration</x:v>
      </x:c>
      <x:c r="K158" s="85" t="str">
        <x:v>Proposed</x:v>
      </x:c>
      <x:c r="L158" s="84" t="str"/>
      <x:c r="M158" s="84" t="str"/>
      <x:c r="N158" s="84" t="str"/>
      <x:c r="O158" s="84" t="str"/>
      <x:c r="P158" s="84" t="str"/>
      <x:c r="Q158" s="84" t="str"/>
      <x:c r="R158" s="84" t="str"/>
      <x:c r="S158" s="84" t="str"/>
      <x:c r="T158" s="84" t="str"/>
    </x:row>
    <x:row r="159" ht="44" customHeight="1">
      <x:c r="A159" s="83" t="str">
        <x:v>RES-022</x:v>
      </x:c>
      <x:c r="B159" s="84" t="str">
        <x:v>People, Capacity, Skills, and Role Management</x:v>
      </x:c>
      <x:c r="C159" s="84" t="str">
        <x:v>Interactive reallocation impact</x:v>
      </x:c>
      <x:c r="D159" s="84" t="str">
        <x:v>Resource managers shall model or propose reallocations and immediately view the resulting schedule, cost, skill-coverage, core-function, priority, and risk impacts before committing the change.</x:v>
      </x:c>
      <x:c r="E159" s="85" t="str">
        <x:v>Must</x:v>
      </x:c>
      <x:c r="F159" s="85" t="str">
        <x:v>4</x:v>
      </x:c>
      <x:c r="G159" s="85" t="str">
        <x:v>Extend</x:v>
      </x:c>
      <x:c r="H159" s="84" t="str">
        <x:v>People, Capacity, Skills, and Role Management</x:v>
      </x:c>
      <x:c r="I159" s="84" t="str">
        <x:v>Resource Manager</x:v>
      </x:c>
      <x:c r="J159" s="85" t="str">
        <x:v>Demonstration</x:v>
      </x:c>
      <x:c r="K159" s="85" t="str">
        <x:v>Proposed</x:v>
      </x:c>
      <x:c r="L159" s="84" t="str"/>
      <x:c r="M159" s="84" t="str"/>
      <x:c r="N159" s="84" t="str"/>
      <x:c r="O159" s="84" t="str"/>
      <x:c r="P159" s="84" t="str"/>
      <x:c r="Q159" s="84" t="str"/>
      <x:c r="R159" s="84" t="str"/>
      <x:c r="S159" s="84" t="str"/>
      <x:c r="T159" s="84" t="str"/>
    </x:row>
    <x:row r="160" ht="44" customHeight="1">
      <x:c r="A160" s="83" t="str">
        <x:v>FIN-001</x:v>
      </x:c>
      <x:c r="B160" s="84" t="str">
        <x:v>Budget, Cost, Actuals, and Investment Management</x:v>
      </x:c>
      <x:c r="C160" s="84" t="str">
        <x:v>Financial hierarchy</x:v>
      </x:c>
      <x:c r="D160" s="84" t="str">
        <x:v>The platform shall support fiscal years, appropriations or funding types, programs, cost centers, lines of effort, projects, core functions, and configurable financial reference structures.</x:v>
      </x:c>
      <x:c r="E160" s="85" t="str">
        <x:v>Must</x:v>
      </x:c>
      <x:c r="F160" s="85" t="str">
        <x:v>3</x:v>
      </x:c>
      <x:c r="G160" s="85" t="str">
        <x:v>Configure</x:v>
      </x:c>
      <x:c r="H160" s="84" t="str">
        <x:v>Budget, Cost, Actuals, and Investment Management</x:v>
      </x:c>
      <x:c r="I160" s="84" t="str">
        <x:v>Financial Manager</x:v>
      </x:c>
      <x:c r="J160" s="85" t="str">
        <x:v>Demonstration</x:v>
      </x:c>
      <x:c r="K160" s="85" t="str">
        <x:v>Proposed</x:v>
      </x:c>
      <x:c r="L160" s="84" t="str"/>
      <x:c r="M160" s="84" t="str"/>
      <x:c r="N160" s="84" t="str"/>
      <x:c r="O160" s="84" t="str"/>
      <x:c r="P160" s="84" t="str"/>
      <x:c r="Q160" s="84" t="str"/>
      <x:c r="R160" s="84" t="str"/>
      <x:c r="S160" s="84" t="str"/>
      <x:c r="T160" s="84" t="str"/>
    </x:row>
    <x:row r="161" ht="44" customHeight="1">
      <x:c r="A161" s="83" t="str">
        <x:v>FIN-002</x:v>
      </x:c>
      <x:c r="B161" s="84" t="str">
        <x:v>Budget, Cost, Actuals, and Investment Management</x:v>
      </x:c>
      <x:c r="C161" s="84" t="str">
        <x:v>Budget lifecycle</x:v>
      </x:c>
      <x:c r="D161" s="84" t="str">
        <x:v>Users shall capture requested, planned, approved, distributed, committed, obligated, expended, forecast, and remaining amounts as available from authoritative sources.</x:v>
      </x:c>
      <x:c r="E161" s="85" t="str">
        <x:v>Must</x:v>
      </x:c>
      <x:c r="F161" s="85" t="str">
        <x:v>3</x:v>
      </x:c>
      <x:c r="G161" s="85" t="str">
        <x:v>Configure</x:v>
      </x:c>
      <x:c r="H161" s="84" t="str">
        <x:v>Budget, Cost, Actuals, and Investment Management</x:v>
      </x:c>
      <x:c r="I161" s="84" t="str">
        <x:v>Financial Manager</x:v>
      </x:c>
      <x:c r="J161" s="85" t="str">
        <x:v>Demonstration</x:v>
      </x:c>
      <x:c r="K161" s="85" t="str">
        <x:v>Proposed</x:v>
      </x:c>
      <x:c r="L161" s="84" t="str"/>
      <x:c r="M161" s="84" t="str"/>
      <x:c r="N161" s="84" t="str"/>
      <x:c r="O161" s="84" t="str"/>
      <x:c r="P161" s="84" t="str"/>
      <x:c r="Q161" s="84" t="str"/>
      <x:c r="R161" s="84" t="str"/>
      <x:c r="S161" s="84" t="str"/>
      <x:c r="T161" s="84" t="str"/>
    </x:row>
    <x:row r="162" ht="44" customHeight="1">
      <x:c r="A162" s="83" t="str">
        <x:v>FIN-003</x:v>
      </x:c>
      <x:c r="B162" s="84" t="str">
        <x:v>Budget, Cost, Actuals, and Investment Management</x:v>
      </x:c>
      <x:c r="C162" s="84" t="str">
        <x:v>Budget versus actual</x:v>
      </x:c>
      <x:c r="D162" s="84" t="str">
        <x:v>Leaders shall compare budget, commitments, obligations, expenditures, accruals where used, estimate to complete, and estimate at completion by project, function, division, portfolio, and fiscal period.</x:v>
      </x:c>
      <x:c r="E162" s="85" t="str">
        <x:v>Must</x:v>
      </x:c>
      <x:c r="F162" s="85" t="str">
        <x:v>3</x:v>
      </x:c>
      <x:c r="G162" s="85" t="str">
        <x:v>Configure</x:v>
      </x:c>
      <x:c r="H162" s="84" t="str">
        <x:v>Budget, Cost, Actuals, and Investment Management</x:v>
      </x:c>
      <x:c r="I162" s="84" t="str">
        <x:v>Financial Manager</x:v>
      </x:c>
      <x:c r="J162" s="85" t="str">
        <x:v>Demonstration</x:v>
      </x:c>
      <x:c r="K162" s="85" t="str">
        <x:v>Proposed</x:v>
      </x:c>
      <x:c r="L162" s="84" t="str"/>
      <x:c r="M162" s="84" t="str"/>
      <x:c r="N162" s="84" t="str"/>
      <x:c r="O162" s="84" t="str"/>
      <x:c r="P162" s="84" t="str"/>
      <x:c r="Q162" s="84" t="str"/>
      <x:c r="R162" s="84" t="str"/>
      <x:c r="S162" s="84" t="str"/>
      <x:c r="T162" s="84" t="str"/>
    </x:row>
    <x:row r="163" ht="44" customHeight="1">
      <x:c r="A163" s="83" t="str">
        <x:v>FIN-004</x:v>
      </x:c>
      <x:c r="B163" s="84" t="str">
        <x:v>Budget, Cost, Actuals, and Investment Management</x:v>
      </x:c>
      <x:c r="C163" s="84" t="str">
        <x:v>Cost categories</x:v>
      </x:c>
      <x:c r="D163" s="84" t="str">
        <x:v>Costs shall be categorized at minimum as labor, contract support, travel, training, software, hardware, cloud or hosting, facilities, data, integration, and other configurable categories.</x:v>
      </x:c>
      <x:c r="E163" s="85" t="str">
        <x:v>Must</x:v>
      </x:c>
      <x:c r="F163" s="85" t="str">
        <x:v>3</x:v>
      </x:c>
      <x:c r="G163" s="85" t="str">
        <x:v>Configure</x:v>
      </x:c>
      <x:c r="H163" s="84" t="str">
        <x:v>Budget, Cost, Actuals, and Investment Management</x:v>
      </x:c>
      <x:c r="I163" s="84" t="str">
        <x:v>Financial Manager</x:v>
      </x:c>
      <x:c r="J163" s="85" t="str">
        <x:v>Demonstration</x:v>
      </x:c>
      <x:c r="K163" s="85" t="str">
        <x:v>Proposed</x:v>
      </x:c>
      <x:c r="L163" s="84" t="str"/>
      <x:c r="M163" s="84" t="str"/>
      <x:c r="N163" s="84" t="str"/>
      <x:c r="O163" s="84" t="str"/>
      <x:c r="P163" s="84" t="str"/>
      <x:c r="Q163" s="84" t="str"/>
      <x:c r="R163" s="84" t="str"/>
      <x:c r="S163" s="84" t="str"/>
      <x:c r="T163" s="84" t="str"/>
    </x:row>
    <x:row r="164" ht="44" customHeight="1">
      <x:c r="A164" s="83" t="str">
        <x:v>FIN-005</x:v>
      </x:c>
      <x:c r="B164" s="84" t="str">
        <x:v>Budget, Cost, Actuals, and Investment Management</x:v>
      </x:c>
      <x:c r="C164" s="84" t="str">
        <x:v>Labor cost planning</x:v>
      </x:c>
      <x:c r="D164" s="84" t="str">
        <x:v>Authorized planners shall estimate labor cost from hours or FTE, role or labor category, time period, and controlled rates, while limiting visibility of sensitive rate data.</x:v>
      </x:c>
      <x:c r="E164" s="85" t="str">
        <x:v>Must</x:v>
      </x:c>
      <x:c r="F164" s="85" t="str">
        <x:v>3</x:v>
      </x:c>
      <x:c r="G164" s="85" t="str">
        <x:v>Configure</x:v>
      </x:c>
      <x:c r="H164" s="84" t="str">
        <x:v>Budget, Cost, Actuals, and Investment Management</x:v>
      </x:c>
      <x:c r="I164" s="84" t="str">
        <x:v>Financial Manager</x:v>
      </x:c>
      <x:c r="J164" s="85" t="str">
        <x:v>Demonstration</x:v>
      </x:c>
      <x:c r="K164" s="85" t="str">
        <x:v>Proposed</x:v>
      </x:c>
      <x:c r="L164" s="84" t="str"/>
      <x:c r="M164" s="84" t="str"/>
      <x:c r="N164" s="84" t="str"/>
      <x:c r="O164" s="84" t="str"/>
      <x:c r="P164" s="84" t="str"/>
      <x:c r="Q164" s="84" t="str"/>
      <x:c r="R164" s="84" t="str"/>
      <x:c r="S164" s="84" t="str"/>
      <x:c r="T164" s="84" t="str"/>
    </x:row>
    <x:row r="165" ht="44" customHeight="1">
      <x:c r="A165" s="83" t="str">
        <x:v>FIN-006</x:v>
      </x:c>
      <x:c r="B165" s="84" t="str">
        <x:v>Budget, Cost, Actuals, and Investment Management</x:v>
      </x:c>
      <x:c r="C165" s="84" t="str">
        <x:v>Multi-year cost profile</x:v>
      </x:c>
      <x:c r="D165" s="84" t="str">
        <x:v>Projects and core functions shall maintain a multi-year cost profile with assumptions, confidence, minimum viable funding, and full-funding requirement.</x:v>
      </x:c>
      <x:c r="E165" s="85" t="str">
        <x:v>Must</x:v>
      </x:c>
      <x:c r="F165" s="85" t="str">
        <x:v>3</x:v>
      </x:c>
      <x:c r="G165" s="85" t="str">
        <x:v>Configure</x:v>
      </x:c>
      <x:c r="H165" s="84" t="str">
        <x:v>Budget, Cost, Actuals, and Investment Management</x:v>
      </x:c>
      <x:c r="I165" s="84" t="str">
        <x:v>Financial Manager</x:v>
      </x:c>
      <x:c r="J165" s="85" t="str">
        <x:v>Demonstration</x:v>
      </x:c>
      <x:c r="K165" s="85" t="str">
        <x:v>Proposed</x:v>
      </x:c>
      <x:c r="L165" s="84" t="str"/>
      <x:c r="M165" s="84" t="str"/>
      <x:c r="N165" s="84" t="str"/>
      <x:c r="O165" s="84" t="str"/>
      <x:c r="P165" s="84" t="str"/>
      <x:c r="Q165" s="84" t="str"/>
      <x:c r="R165" s="84" t="str"/>
      <x:c r="S165" s="84" t="str"/>
      <x:c r="T165" s="84" t="str"/>
    </x:row>
    <x:row r="166" ht="44" customHeight="1">
      <x:c r="A166" s="83" t="str">
        <x:v>FIN-007</x:v>
      </x:c>
      <x:c r="B166" s="84" t="str">
        <x:v>Budget, Cost, Actuals, and Investment Management</x:v>
      </x:c>
      <x:c r="C166" s="84" t="str">
        <x:v>Financial baseline and variance</x:v>
      </x:c>
      <x:c r="D166" s="84" t="str">
        <x:v>The platform shall baseline approved financial plans and calculate period and cumulative variance with configurable thresholds, explanations, and corrective actions.</x:v>
      </x:c>
      <x:c r="E166" s="85" t="str">
        <x:v>Must</x:v>
      </x:c>
      <x:c r="F166" s="85" t="str">
        <x:v>3</x:v>
      </x:c>
      <x:c r="G166" s="85" t="str">
        <x:v>Configure</x:v>
      </x:c>
      <x:c r="H166" s="84" t="str">
        <x:v>Budget, Cost, Actuals, and Investment Management</x:v>
      </x:c>
      <x:c r="I166" s="84" t="str">
        <x:v>Financial Manager</x:v>
      </x:c>
      <x:c r="J166" s="85" t="str">
        <x:v>Demonstration</x:v>
      </x:c>
      <x:c r="K166" s="85" t="str">
        <x:v>Proposed</x:v>
      </x:c>
      <x:c r="L166" s="84" t="str"/>
      <x:c r="M166" s="84" t="str"/>
      <x:c r="N166" s="84" t="str"/>
      <x:c r="O166" s="84" t="str"/>
      <x:c r="P166" s="84" t="str"/>
      <x:c r="Q166" s="84" t="str"/>
      <x:c r="R166" s="84" t="str"/>
      <x:c r="S166" s="84" t="str"/>
      <x:c r="T166" s="84" t="str"/>
    </x:row>
    <x:row r="167" ht="44" customHeight="1">
      <x:c r="A167" s="83" t="str">
        <x:v>FIN-008</x:v>
      </x:c>
      <x:c r="B167" s="84" t="str">
        <x:v>Budget, Cost, Actuals, and Investment Management</x:v>
      </x:c>
      <x:c r="C167" s="84" t="str">
        <x:v>Funding constraints</x:v>
      </x:c>
      <x:c r="D167" s="84" t="str">
        <x:v>Users shall record time limits, purpose restrictions, color-of-money constraints, contract dependencies, expiration risks, and other funding constraints relevant to execution.</x:v>
      </x:c>
      <x:c r="E167" s="85" t="str">
        <x:v>Must</x:v>
      </x:c>
      <x:c r="F167" s="85" t="str">
        <x:v>3</x:v>
      </x:c>
      <x:c r="G167" s="85" t="str">
        <x:v>Configure</x:v>
      </x:c>
      <x:c r="H167" s="84" t="str">
        <x:v>Budget, Cost, Actuals, and Investment Management</x:v>
      </x:c>
      <x:c r="I167" s="84" t="str">
        <x:v>Financial Manager</x:v>
      </x:c>
      <x:c r="J167" s="85" t="str">
        <x:v>Demonstration</x:v>
      </x:c>
      <x:c r="K167" s="85" t="str">
        <x:v>Proposed</x:v>
      </x:c>
      <x:c r="L167" s="84" t="str"/>
      <x:c r="M167" s="84" t="str"/>
      <x:c r="N167" s="84" t="str"/>
      <x:c r="O167" s="84" t="str"/>
      <x:c r="P167" s="84" t="str"/>
      <x:c r="Q167" s="84" t="str"/>
      <x:c r="R167" s="84" t="str"/>
      <x:c r="S167" s="84" t="str"/>
      <x:c r="T167" s="84" t="str"/>
    </x:row>
    <x:row r="168" ht="44" customHeight="1">
      <x:c r="A168" s="83" t="str">
        <x:v>FIN-009</x:v>
      </x:c>
      <x:c r="B168" s="84" t="str">
        <x:v>Budget, Cost, Actuals, and Investment Management</x:v>
      </x:c>
      <x:c r="C168" s="84" t="str">
        <x:v>Unfunded and underfunded status</x:v>
      </x:c>
      <x:c r="D168" s="84" t="str">
        <x:v>The platform shall identify unfunded, partially funded, fully funded, overfunded, and funding-at-risk work and quantify the mission or schedule consequence.</x:v>
      </x:c>
      <x:c r="E168" s="85" t="str">
        <x:v>Must</x:v>
      </x:c>
      <x:c r="F168" s="85" t="str">
        <x:v>3</x:v>
      </x:c>
      <x:c r="G168" s="85" t="str">
        <x:v>Configure</x:v>
      </x:c>
      <x:c r="H168" s="84" t="str">
        <x:v>Budget, Cost, Actuals, and Investment Management</x:v>
      </x:c>
      <x:c r="I168" s="84" t="str">
        <x:v>Financial Manager</x:v>
      </x:c>
      <x:c r="J168" s="85" t="str">
        <x:v>Demonstration</x:v>
      </x:c>
      <x:c r="K168" s="85" t="str">
        <x:v>Proposed</x:v>
      </x:c>
      <x:c r="L168" s="84" t="str"/>
      <x:c r="M168" s="84" t="str"/>
      <x:c r="N168" s="84" t="str"/>
      <x:c r="O168" s="84" t="str"/>
      <x:c r="P168" s="84" t="str"/>
      <x:c r="Q168" s="84" t="str"/>
      <x:c r="R168" s="84" t="str"/>
      <x:c r="S168" s="84" t="str"/>
      <x:c r="T168" s="84" t="str"/>
    </x:row>
    <x:row r="169" ht="44" customHeight="1">
      <x:c r="A169" s="83" t="str">
        <x:v>FIN-010</x:v>
      </x:c>
      <x:c r="B169" s="84" t="str">
        <x:v>Budget, Cost, Actuals, and Investment Management</x:v>
      </x:c>
      <x:c r="C169" s="84" t="str">
        <x:v>Cost change request</x:v>
      </x:c>
      <x:c r="D169" s="84" t="str">
        <x:v>A change that exceeds configured cost tolerance shall generate a financial change request showing cause, alternatives, offsets, impacts, and approval authority.</x:v>
      </x:c>
      <x:c r="E169" s="85" t="str">
        <x:v>Must</x:v>
      </x:c>
      <x:c r="F169" s="85" t="str">
        <x:v>3</x:v>
      </x:c>
      <x:c r="G169" s="85" t="str">
        <x:v>Configure</x:v>
      </x:c>
      <x:c r="H169" s="84" t="str">
        <x:v>Budget, Cost, Actuals, and Investment Management</x:v>
      </x:c>
      <x:c r="I169" s="84" t="str">
        <x:v>Change Control Board</x:v>
      </x:c>
      <x:c r="J169" s="85" t="str">
        <x:v>Demonstration</x:v>
      </x:c>
      <x:c r="K169" s="85" t="str">
        <x:v>Proposed</x:v>
      </x:c>
      <x:c r="L169" s="84" t="str"/>
      <x:c r="M169" s="84" t="str"/>
      <x:c r="N169" s="84" t="str"/>
      <x:c r="O169" s="84" t="str"/>
      <x:c r="P169" s="84" t="str"/>
      <x:c r="Q169" s="84" t="str"/>
      <x:c r="R169" s="84" t="str"/>
      <x:c r="S169" s="84" t="str"/>
      <x:c r="T169" s="84" t="str"/>
    </x:row>
    <x:row r="170" ht="44" customHeight="1">
      <x:c r="A170" s="83" t="str">
        <x:v>FIN-011</x:v>
      </x:c>
      <x:c r="B170" s="84" t="str">
        <x:v>Budget, Cost, Actuals, and Investment Management</x:v>
      </x:c>
      <x:c r="C170" s="84" t="str">
        <x:v>Benefit register</x:v>
      </x:c>
      <x:c r="D170" s="84" t="str">
        <x:v>Investments shall maintain expected financial and nonfinancial benefits, measurement method, baseline, target, owner, realization date, confidence, and actual result.</x:v>
      </x:c>
      <x:c r="E170" s="85" t="str">
        <x:v>Must</x:v>
      </x:c>
      <x:c r="F170" s="85" t="str">
        <x:v>3</x:v>
      </x:c>
      <x:c r="G170" s="85" t="str">
        <x:v>Configure</x:v>
      </x:c>
      <x:c r="H170" s="84" t="str">
        <x:v>Budget, Cost, Actuals, and Investment Management</x:v>
      </x:c>
      <x:c r="I170" s="84" t="str">
        <x:v>Benefits Owner</x:v>
      </x:c>
      <x:c r="J170" s="85" t="str">
        <x:v>Demonstration</x:v>
      </x:c>
      <x:c r="K170" s="85" t="str">
        <x:v>Proposed</x:v>
      </x:c>
      <x:c r="L170" s="84" t="str"/>
      <x:c r="M170" s="84" t="str"/>
      <x:c r="N170" s="84" t="str"/>
      <x:c r="O170" s="84" t="str"/>
      <x:c r="P170" s="84" t="str"/>
      <x:c r="Q170" s="84" t="str"/>
      <x:c r="R170" s="84" t="str"/>
      <x:c r="S170" s="84" t="str"/>
      <x:c r="T170" s="84" t="str"/>
    </x:row>
    <x:row r="171" ht="44" customHeight="1">
      <x:c r="A171" s="83" t="str">
        <x:v>FIN-012</x:v>
      </x:c>
      <x:c r="B171" s="84" t="str">
        <x:v>Budget, Cost, Actuals, and Investment Management</x:v>
      </x:c>
      <x:c r="C171" s="84" t="str">
        <x:v>ROI and value framework</x:v>
      </x:c>
      <x:c r="D171" s="84" t="str">
        <x:v>The platform shall calculate configurable return measures such as cost avoidance, time saved, readiness gain, risk reduction, interoperability gain, service improvement, and qualitative strategic value without forcing all value into dollars.</x:v>
      </x:c>
      <x:c r="E171" s="85" t="str">
        <x:v>Must</x:v>
      </x:c>
      <x:c r="F171" s="85" t="str">
        <x:v>3</x:v>
      </x:c>
      <x:c r="G171" s="85" t="str">
        <x:v>Extend</x:v>
      </x:c>
      <x:c r="H171" s="84" t="str">
        <x:v>Budget, Cost, Actuals, and Investment Management</x:v>
      </x:c>
      <x:c r="I171" s="84" t="str">
        <x:v>Benefits Owner</x:v>
      </x:c>
      <x:c r="J171" s="85" t="str">
        <x:v>Demonstration</x:v>
      </x:c>
      <x:c r="K171" s="85" t="str">
        <x:v>Proposed</x:v>
      </x:c>
      <x:c r="L171" s="84" t="str"/>
      <x:c r="M171" s="84" t="str"/>
      <x:c r="N171" s="84" t="str"/>
      <x:c r="O171" s="84" t="str"/>
      <x:c r="P171" s="84" t="str"/>
      <x:c r="Q171" s="84" t="str"/>
      <x:c r="R171" s="84" t="str"/>
      <x:c r="S171" s="84" t="str"/>
      <x:c r="T171" s="84" t="str"/>
    </x:row>
    <x:row r="172" ht="44" customHeight="1">
      <x:c r="A172" s="83" t="str">
        <x:v>FIN-013</x:v>
      </x:c>
      <x:c r="B172" s="84" t="str">
        <x:v>Budget, Cost, Actuals, and Investment Management</x:v>
      </x:c>
      <x:c r="C172" s="84" t="str">
        <x:v>Financial source reconciliation</x:v>
      </x:c>
      <x:c r="D172" s="84" t="str">
        <x:v>Imported or integrated financial data shall be reconciled to the authoritative source, with unmatched records, timing differences, and manual adjustments visible and auditable.</x:v>
      </x:c>
      <x:c r="E172" s="85" t="str">
        <x:v>Must</x:v>
      </x:c>
      <x:c r="F172" s="85" t="str">
        <x:v>4</x:v>
      </x:c>
      <x:c r="G172" s="85" t="str">
        <x:v>Integrate</x:v>
      </x:c>
      <x:c r="H172" s="84" t="str">
        <x:v>Budget, Cost, Actuals, and Investment Management</x:v>
      </x:c>
      <x:c r="I172" s="84" t="str">
        <x:v>Financial Manager</x:v>
      </x:c>
      <x:c r="J172" s="85" t="str">
        <x:v>Demonstration</x:v>
      </x:c>
      <x:c r="K172" s="85" t="str">
        <x:v>Proposed</x:v>
      </x:c>
      <x:c r="L172" s="84" t="str"/>
      <x:c r="M172" s="84" t="str"/>
      <x:c r="N172" s="84" t="str"/>
      <x:c r="O172" s="84" t="str"/>
      <x:c r="P172" s="84" t="str"/>
      <x:c r="Q172" s="84" t="str"/>
      <x:c r="R172" s="84" t="str"/>
      <x:c r="S172" s="84" t="str"/>
      <x:c r="T172" s="84" t="str"/>
    </x:row>
    <x:row r="173" ht="44" customHeight="1">
      <x:c r="A173" s="83" t="str">
        <x:v>FIN-014</x:v>
      </x:c>
      <x:c r="B173" s="84" t="str">
        <x:v>Budget, Cost, Actuals, and Investment Management</x:v>
      </x:c>
      <x:c r="C173" s="84" t="str">
        <x:v>Resource-cost linkage</x:v>
      </x:c>
      <x:c r="D173" s="84" t="str">
        <x:v>Approved staffing and non-labor resource plans shall roll into the cost forecast, and authorized cost changes shall show corresponding resource or scope effects.</x:v>
      </x:c>
      <x:c r="E173" s="85" t="str">
        <x:v>Must</x:v>
      </x:c>
      <x:c r="F173" s="85" t="str">
        <x:v>3</x:v>
      </x:c>
      <x:c r="G173" s="85" t="str">
        <x:v>Configure</x:v>
      </x:c>
      <x:c r="H173" s="84" t="str">
        <x:v>Budget, Cost, Actuals, and Investment Management</x:v>
      </x:c>
      <x:c r="I173" s="84" t="str">
        <x:v>Financial Manager</x:v>
      </x:c>
      <x:c r="J173" s="85" t="str">
        <x:v>Demonstration</x:v>
      </x:c>
      <x:c r="K173" s="85" t="str">
        <x:v>Proposed</x:v>
      </x:c>
      <x:c r="L173" s="84" t="str"/>
      <x:c r="M173" s="84" t="str"/>
      <x:c r="N173" s="84" t="str"/>
      <x:c r="O173" s="84" t="str"/>
      <x:c r="P173" s="84" t="str"/>
      <x:c r="Q173" s="84" t="str"/>
      <x:c r="R173" s="84" t="str"/>
      <x:c r="S173" s="84" t="str"/>
      <x:c r="T173" s="84" t="str"/>
    </x:row>
    <x:row r="174" ht="44" customHeight="1">
      <x:c r="A174" s="83" t="str">
        <x:v>FIN-015</x:v>
      </x:c>
      <x:c r="B174" s="84" t="str">
        <x:v>Budget, Cost, Actuals, and Investment Management</x:v>
      </x:c>
      <x:c r="C174" s="84" t="str">
        <x:v>Financial closeout</x:v>
      </x:c>
      <x:c r="D174" s="84" t="str">
        <x:v>Project closure shall require final cost reconciliation, disposition of remaining funds or commitments, and documentation of financial lessons or unresolved transactions.</x:v>
      </x:c>
      <x:c r="E174" s="85" t="str">
        <x:v>Must</x:v>
      </x:c>
      <x:c r="F174" s="85" t="str">
        <x:v>3</x:v>
      </x:c>
      <x:c r="G174" s="85" t="str">
        <x:v>Configure</x:v>
      </x:c>
      <x:c r="H174" s="84" t="str">
        <x:v>Budget, Cost, Actuals, and Investment Management</x:v>
      </x:c>
      <x:c r="I174" s="84" t="str">
        <x:v>Financial Manager</x:v>
      </x:c>
      <x:c r="J174" s="85" t="str">
        <x:v>Demonstration</x:v>
      </x:c>
      <x:c r="K174" s="85" t="str">
        <x:v>Proposed</x:v>
      </x:c>
      <x:c r="L174" s="84" t="str"/>
      <x:c r="M174" s="84" t="str"/>
      <x:c r="N174" s="84" t="str"/>
      <x:c r="O174" s="84" t="str"/>
      <x:c r="P174" s="84" t="str"/>
      <x:c r="Q174" s="84" t="str"/>
      <x:c r="R174" s="84" t="str"/>
      <x:c r="S174" s="84" t="str"/>
      <x:c r="T174" s="84" t="str"/>
    </x:row>
    <x:row r="175" ht="44" customHeight="1">
      <x:c r="A175" s="83" t="str">
        <x:v>SCN-001</x:v>
      </x:c>
      <x:c r="B175" s="84" t="str">
        <x:v>Forecasting, Scenario Planning, and Change Impact</x:v>
      </x:c>
      <x:c r="C175" s="84" t="str">
        <x:v>Portfolio forecast</x:v>
      </x:c>
      <x:c r="D175" s="84" t="str">
        <x:v>The platform shall forecast workload, capacity, skill gaps, schedule, cost, funding, benefits, and mission impacts for approved and candidate work across configurable time horizons.</x:v>
      </x:c>
      <x:c r="E175" s="85" t="str">
        <x:v>Must</x:v>
      </x:c>
      <x:c r="F175" s="85" t="str">
        <x:v>4</x:v>
      </x:c>
      <x:c r="G175" s="85" t="str">
        <x:v>Extend</x:v>
      </x:c>
      <x:c r="H175" s="84" t="str">
        <x:v>Forecasting, Scenario Planning, and Change Impact</x:v>
      </x:c>
      <x:c r="I175" s="84" t="str">
        <x:v>Portfolio Analyst</x:v>
      </x:c>
      <x:c r="J175" s="85" t="str">
        <x:v>Demonstration</x:v>
      </x:c>
      <x:c r="K175" s="85" t="str">
        <x:v>Proposed</x:v>
      </x:c>
      <x:c r="L175" s="84" t="str"/>
      <x:c r="M175" s="84" t="str"/>
      <x:c r="N175" s="84" t="str"/>
      <x:c r="O175" s="84" t="str"/>
      <x:c r="P175" s="84" t="str"/>
      <x:c r="Q175" s="84" t="str"/>
      <x:c r="R175" s="84" t="str"/>
      <x:c r="S175" s="84" t="str"/>
      <x:c r="T175" s="84" t="str"/>
    </x:row>
    <x:row r="176" ht="44" customHeight="1">
      <x:c r="A176" s="83" t="str">
        <x:v>SCN-002</x:v>
      </x:c>
      <x:c r="B176" s="84" t="str">
        <x:v>Forecasting, Scenario Planning, and Change Impact</x:v>
      </x:c>
      <x:c r="C176" s="84" t="str">
        <x:v>Baseline scenario</x:v>
      </x:c>
      <x:c r="D176" s="84" t="str">
        <x:v>Forecasts shall reference an approved baseline scenario so leaders can distinguish current plan, actual performance, and proposed change.</x:v>
      </x:c>
      <x:c r="E176" s="85" t="str">
        <x:v>Must</x:v>
      </x:c>
      <x:c r="F176" s="85" t="str">
        <x:v>4</x:v>
      </x:c>
      <x:c r="G176" s="85" t="str">
        <x:v>Configure</x:v>
      </x:c>
      <x:c r="H176" s="84" t="str">
        <x:v>Forecasting, Scenario Planning, and Change Impact</x:v>
      </x:c>
      <x:c r="I176" s="84" t="str">
        <x:v>Portfolio Analyst</x:v>
      </x:c>
      <x:c r="J176" s="85" t="str">
        <x:v>Demonstration</x:v>
      </x:c>
      <x:c r="K176" s="85" t="str">
        <x:v>Proposed</x:v>
      </x:c>
      <x:c r="L176" s="84" t="str"/>
      <x:c r="M176" s="84" t="str"/>
      <x:c r="N176" s="84" t="str"/>
      <x:c r="O176" s="84" t="str"/>
      <x:c r="P176" s="84" t="str"/>
      <x:c r="Q176" s="84" t="str"/>
      <x:c r="R176" s="84" t="str"/>
      <x:c r="S176" s="84" t="str"/>
      <x:c r="T176" s="84" t="str"/>
    </x:row>
    <x:row r="177" ht="44" customHeight="1">
      <x:c r="A177" s="83" t="str">
        <x:v>SCN-003</x:v>
      </x:c>
      <x:c r="B177" s="84" t="str">
        <x:v>Forecasting, Scenario Planning, and Change Impact</x:v>
      </x:c>
      <x:c r="C177" s="84" t="str">
        <x:v>What-if scenarios</x:v>
      </x:c>
      <x:c r="D177" s="84" t="str">
        <x:v>Authorized users shall create non-destructive what-if scenarios by changing priorities, start dates, scope, staffing, skills, funding, costs, dependencies, or external assumptions.</x:v>
      </x:c>
      <x:c r="E177" s="85" t="str">
        <x:v>Must</x:v>
      </x:c>
      <x:c r="F177" s="85" t="str">
        <x:v>4</x:v>
      </x:c>
      <x:c r="G177" s="85" t="str">
        <x:v>Extend</x:v>
      </x:c>
      <x:c r="H177" s="84" t="str">
        <x:v>Forecasting, Scenario Planning, and Change Impact</x:v>
      </x:c>
      <x:c r="I177" s="84" t="str">
        <x:v>Portfolio Analyst</x:v>
      </x:c>
      <x:c r="J177" s="85" t="str">
        <x:v>Demonstration</x:v>
      </x:c>
      <x:c r="K177" s="85" t="str">
        <x:v>Proposed</x:v>
      </x:c>
      <x:c r="L177" s="84" t="str"/>
      <x:c r="M177" s="84" t="str"/>
      <x:c r="N177" s="84" t="str"/>
      <x:c r="O177" s="84" t="str"/>
      <x:c r="P177" s="84" t="str"/>
      <x:c r="Q177" s="84" t="str"/>
      <x:c r="R177" s="84" t="str"/>
      <x:c r="S177" s="84" t="str"/>
      <x:c r="T177" s="84" t="str"/>
    </x:row>
    <x:row r="178" ht="44" customHeight="1">
      <x:c r="A178" s="83" t="str">
        <x:v>SCN-004</x:v>
      </x:c>
      <x:c r="B178" s="84" t="str">
        <x:v>Forecasting, Scenario Planning, and Change Impact</x:v>
      </x:c>
      <x:c r="C178" s="84" t="str">
        <x:v>Scenario comparison</x:v>
      </x:c>
      <x:c r="D178" s="84" t="str">
        <x:v>The platform shall compare at least three scenarios side by side using mission outcomes, projects delivered, delays, resource gaps, cost, risk, benefits, and impacted stakeholders.</x:v>
      </x:c>
      <x:c r="E178" s="85" t="str">
        <x:v>Must</x:v>
      </x:c>
      <x:c r="F178" s="85" t="str">
        <x:v>4</x:v>
      </x:c>
      <x:c r="G178" s="85" t="str">
        <x:v>Configure</x:v>
      </x:c>
      <x:c r="H178" s="84" t="str">
        <x:v>Forecasting, Scenario Planning, and Change Impact</x:v>
      </x:c>
      <x:c r="I178" s="84" t="str">
        <x:v>Portfolio Analyst</x:v>
      </x:c>
      <x:c r="J178" s="85" t="str">
        <x:v>Demonstration</x:v>
      </x:c>
      <x:c r="K178" s="85" t="str">
        <x:v>Proposed</x:v>
      </x:c>
      <x:c r="L178" s="84" t="str"/>
      <x:c r="M178" s="84" t="str"/>
      <x:c r="N178" s="84" t="str"/>
      <x:c r="O178" s="84" t="str"/>
      <x:c r="P178" s="84" t="str"/>
      <x:c r="Q178" s="84" t="str"/>
      <x:c r="R178" s="84" t="str"/>
      <x:c r="S178" s="84" t="str"/>
      <x:c r="T178" s="84" t="str"/>
    </x:row>
    <x:row r="179" ht="44" customHeight="1">
      <x:c r="A179" s="83" t="str">
        <x:v>SCN-005</x:v>
      </x:c>
      <x:c r="B179" s="84" t="str">
        <x:v>Forecasting, Scenario Planning, and Change Impact</x:v>
      </x:c>
      <x:c r="C179" s="84" t="str">
        <x:v>Priority-change impact</x:v>
      </x:c>
      <x:c r="D179" s="84" t="str">
        <x:v>Changing the priority of a demand or project shall show resulting effects on resource contention, core-function coverage, schedules, costs, and lower-priority work.</x:v>
      </x:c>
      <x:c r="E179" s="85" t="str">
        <x:v>Must</x:v>
      </x:c>
      <x:c r="F179" s="85" t="str">
        <x:v>4</x:v>
      </x:c>
      <x:c r="G179" s="85" t="str">
        <x:v>Configure</x:v>
      </x:c>
      <x:c r="H179" s="84" t="str">
        <x:v>Forecasting, Scenario Planning, and Change Impact</x:v>
      </x:c>
      <x:c r="I179" s="84" t="str">
        <x:v>Portfolio Analyst</x:v>
      </x:c>
      <x:c r="J179" s="85" t="str">
        <x:v>Demonstration</x:v>
      </x:c>
      <x:c r="K179" s="85" t="str">
        <x:v>Proposed</x:v>
      </x:c>
      <x:c r="L179" s="84" t="str"/>
      <x:c r="M179" s="84" t="str"/>
      <x:c r="N179" s="84" t="str"/>
      <x:c r="O179" s="84" t="str"/>
      <x:c r="P179" s="84" t="str"/>
      <x:c r="Q179" s="84" t="str"/>
      <x:c r="R179" s="84" t="str"/>
      <x:c r="S179" s="84" t="str"/>
      <x:c r="T179" s="84" t="str"/>
    </x:row>
    <x:row r="180" ht="44" customHeight="1">
      <x:c r="A180" s="83" t="str">
        <x:v>SCN-006</x:v>
      </x:c>
      <x:c r="B180" s="84" t="str">
        <x:v>Forecasting, Scenario Planning, and Change Impact</x:v>
      </x:c>
      <x:c r="C180" s="84" t="str">
        <x:v>Budget-change impact</x:v>
      </x:c>
      <x:c r="D180" s="84" t="str">
        <x:v>A proposed budget increase, reduction, delay, or funding restriction shall show affected scope, milestones, staffing, contracts, benefits, and mission outcomes.</x:v>
      </x:c>
      <x:c r="E180" s="85" t="str">
        <x:v>Must</x:v>
      </x:c>
      <x:c r="F180" s="85" t="str">
        <x:v>4</x:v>
      </x:c>
      <x:c r="G180" s="85" t="str">
        <x:v>Configure</x:v>
      </x:c>
      <x:c r="H180" s="84" t="str">
        <x:v>Forecasting, Scenario Planning, and Change Impact</x:v>
      </x:c>
      <x:c r="I180" s="84" t="str">
        <x:v>Financial Manager</x:v>
      </x:c>
      <x:c r="J180" s="85" t="str">
        <x:v>Demonstration</x:v>
      </x:c>
      <x:c r="K180" s="85" t="str">
        <x:v>Proposed</x:v>
      </x:c>
      <x:c r="L180" s="84" t="str"/>
      <x:c r="M180" s="84" t="str"/>
      <x:c r="N180" s="84" t="str"/>
      <x:c r="O180" s="84" t="str"/>
      <x:c r="P180" s="84" t="str"/>
      <x:c r="Q180" s="84" t="str"/>
      <x:c r="R180" s="84" t="str"/>
      <x:c r="S180" s="84" t="str"/>
      <x:c r="T180" s="84" t="str"/>
    </x:row>
    <x:row r="181" ht="44" customHeight="1">
      <x:c r="A181" s="83" t="str">
        <x:v>SCN-007</x:v>
      </x:c>
      <x:c r="B181" s="84" t="str">
        <x:v>Forecasting, Scenario Planning, and Change Impact</x:v>
      </x:c>
      <x:c r="C181" s="84" t="str">
        <x:v>Workforce-change impact</x:v>
      </x:c>
      <x:c r="D181" s="84" t="str">
        <x:v>A proposed gain, loss, vacancy, detail, reassignment, or contractor change shall show impacts to skill coverage, capacity, schedules, risk, and mission functions.</x:v>
      </x:c>
      <x:c r="E181" s="85" t="str">
        <x:v>Must</x:v>
      </x:c>
      <x:c r="F181" s="85" t="str">
        <x:v>4</x:v>
      </x:c>
      <x:c r="G181" s="85" t="str">
        <x:v>Configure</x:v>
      </x:c>
      <x:c r="H181" s="84" t="str">
        <x:v>Forecasting, Scenario Planning, and Change Impact</x:v>
      </x:c>
      <x:c r="I181" s="84" t="str">
        <x:v>Workforce Manager</x:v>
      </x:c>
      <x:c r="J181" s="85" t="str">
        <x:v>Demonstration</x:v>
      </x:c>
      <x:c r="K181" s="85" t="str">
        <x:v>Proposed</x:v>
      </x:c>
      <x:c r="L181" s="84" t="str"/>
      <x:c r="M181" s="84" t="str"/>
      <x:c r="N181" s="84" t="str"/>
      <x:c r="O181" s="84" t="str"/>
      <x:c r="P181" s="84" t="str"/>
      <x:c r="Q181" s="84" t="str"/>
      <x:c r="R181" s="84" t="str"/>
      <x:c r="S181" s="84" t="str"/>
      <x:c r="T181" s="84" t="str"/>
    </x:row>
    <x:row r="182" ht="44" customHeight="1">
      <x:c r="A182" s="83" t="str">
        <x:v>SCN-008</x:v>
      </x:c>
      <x:c r="B182" s="84" t="str">
        <x:v>Forecasting, Scenario Planning, and Change Impact</x:v>
      </x:c>
      <x:c r="C182" s="84" t="str">
        <x:v>Schedule-change impact</x:v>
      </x:c>
      <x:c r="D182" s="84" t="str">
        <x:v>A milestone or dependency date change shall propagate through linked tasks and portfolio dependencies and identify decisions or deliverables placed at risk.</x:v>
      </x:c>
      <x:c r="E182" s="85" t="str">
        <x:v>Must</x:v>
      </x:c>
      <x:c r="F182" s="85" t="str">
        <x:v>4</x:v>
      </x:c>
      <x:c r="G182" s="85" t="str">
        <x:v>Configure</x:v>
      </x:c>
      <x:c r="H182" s="84" t="str">
        <x:v>Forecasting, Scenario Planning, and Change Impact</x:v>
      </x:c>
      <x:c r="I182" s="84" t="str">
        <x:v>Project Manager</x:v>
      </x:c>
      <x:c r="J182" s="85" t="str">
        <x:v>Demonstration</x:v>
      </x:c>
      <x:c r="K182" s="85" t="str">
        <x:v>Proposed</x:v>
      </x:c>
      <x:c r="L182" s="84" t="str"/>
      <x:c r="M182" s="84" t="str"/>
      <x:c r="N182" s="84" t="str"/>
      <x:c r="O182" s="84" t="str"/>
      <x:c r="P182" s="84" t="str"/>
      <x:c r="Q182" s="84" t="str"/>
      <x:c r="R182" s="84" t="str"/>
      <x:c r="S182" s="84" t="str"/>
      <x:c r="T182" s="84" t="str"/>
    </x:row>
    <x:row r="183" ht="44" customHeight="1">
      <x:c r="A183" s="83" t="str">
        <x:v>SCN-009</x:v>
      </x:c>
      <x:c r="B183" s="84" t="str">
        <x:v>Forecasting, Scenario Planning, and Change Impact</x:v>
      </x:c>
      <x:c r="C183" s="84" t="str">
        <x:v>Demand-surge analysis</x:v>
      </x:c>
      <x:c r="D183" s="84" t="str">
        <x:v>Leaders shall model emergent demand surges and identify work that must stop, slip, reduce, or receive additional resources to preserve priority outcomes.</x:v>
      </x:c>
      <x:c r="E183" s="85" t="str">
        <x:v>Must</x:v>
      </x:c>
      <x:c r="F183" s="85" t="str">
        <x:v>4</x:v>
      </x:c>
      <x:c r="G183" s="85" t="str">
        <x:v>Configure</x:v>
      </x:c>
      <x:c r="H183" s="84" t="str">
        <x:v>Forecasting, Scenario Planning, and Change Impact</x:v>
      </x:c>
      <x:c r="I183" s="84" t="str">
        <x:v>DDC5I Portfolio Owner</x:v>
      </x:c>
      <x:c r="J183" s="85" t="str">
        <x:v>Demonstration</x:v>
      </x:c>
      <x:c r="K183" s="85" t="str">
        <x:v>Proposed</x:v>
      </x:c>
      <x:c r="L183" s="84" t="str"/>
      <x:c r="M183" s="84" t="str"/>
      <x:c r="N183" s="84" t="str"/>
      <x:c r="O183" s="84" t="str"/>
      <x:c r="P183" s="84" t="str"/>
      <x:c r="Q183" s="84" t="str"/>
      <x:c r="R183" s="84" t="str"/>
      <x:c r="S183" s="84" t="str"/>
      <x:c r="T183" s="84" t="str"/>
    </x:row>
    <x:row r="184" ht="44" customHeight="1">
      <x:c r="A184" s="83" t="str">
        <x:v>SCN-010</x:v>
      </x:c>
      <x:c r="B184" s="84" t="str">
        <x:v>Forecasting, Scenario Planning, and Change Impact</x:v>
      </x:c>
      <x:c r="C184" s="84" t="str">
        <x:v>Core-function protection</x:v>
      </x:c>
      <x:c r="D184" s="84" t="str">
        <x:v>Scenarios shall enforce or visibly flag minimum coverage constraints for designated core functions and critical skills.</x:v>
      </x:c>
      <x:c r="E184" s="85" t="str">
        <x:v>Must</x:v>
      </x:c>
      <x:c r="F184" s="85" t="str">
        <x:v>4</x:v>
      </x:c>
      <x:c r="G184" s="85" t="str">
        <x:v>Configure</x:v>
      </x:c>
      <x:c r="H184" s="84" t="str">
        <x:v>Forecasting, Scenario Planning, and Change Impact</x:v>
      </x:c>
      <x:c r="I184" s="84" t="str">
        <x:v>Division Chief</x:v>
      </x:c>
      <x:c r="J184" s="85" t="str">
        <x:v>Demonstration</x:v>
      </x:c>
      <x:c r="K184" s="85" t="str">
        <x:v>Proposed</x:v>
      </x:c>
      <x:c r="L184" s="84" t="str"/>
      <x:c r="M184" s="84" t="str"/>
      <x:c r="N184" s="84" t="str"/>
      <x:c r="O184" s="84" t="str"/>
      <x:c r="P184" s="84" t="str"/>
      <x:c r="Q184" s="84" t="str"/>
      <x:c r="R184" s="84" t="str"/>
      <x:c r="S184" s="84" t="str"/>
      <x:c r="T184" s="84" t="str"/>
    </x:row>
    <x:row r="185" ht="44" customHeight="1">
      <x:c r="A185" s="83" t="str">
        <x:v>SCN-011</x:v>
      </x:c>
      <x:c r="B185" s="84" t="str">
        <x:v>Forecasting, Scenario Planning, and Change Impact</x:v>
      </x:c>
      <x:c r="C185" s="84" t="str">
        <x:v>Confidence and uncertainty</x:v>
      </x:c>
      <x:c r="D185" s="84" t="str">
        <x:v>Forecasts shall show the confidence, source, date, owner, and range or sensitivity of material assumptions rather than presenting uncertain estimates as precise facts.</x:v>
      </x:c>
      <x:c r="E185" s="85" t="str">
        <x:v>Must</x:v>
      </x:c>
      <x:c r="F185" s="85" t="str">
        <x:v>4</x:v>
      </x:c>
      <x:c r="G185" s="85" t="str">
        <x:v>Configure</x:v>
      </x:c>
      <x:c r="H185" s="84" t="str">
        <x:v>Forecasting, Scenario Planning, and Change Impact</x:v>
      </x:c>
      <x:c r="I185" s="84" t="str">
        <x:v>Portfolio Analyst</x:v>
      </x:c>
      <x:c r="J185" s="85" t="str">
        <x:v>Demonstration</x:v>
      </x:c>
      <x:c r="K185" s="85" t="str">
        <x:v>Proposed</x:v>
      </x:c>
      <x:c r="L185" s="84" t="str"/>
      <x:c r="M185" s="84" t="str"/>
      <x:c r="N185" s="84" t="str"/>
      <x:c r="O185" s="84" t="str"/>
      <x:c r="P185" s="84" t="str"/>
      <x:c r="Q185" s="84" t="str"/>
      <x:c r="R185" s="84" t="str"/>
      <x:c r="S185" s="84" t="str"/>
      <x:c r="T185" s="84" t="str"/>
    </x:row>
    <x:row r="186" ht="44" customHeight="1">
      <x:c r="A186" s="83" t="str">
        <x:v>SCN-012</x:v>
      </x:c>
      <x:c r="B186" s="84" t="str">
        <x:v>Forecasting, Scenario Planning, and Change Impact</x:v>
      </x:c>
      <x:c r="C186" s="84" t="str">
        <x:v>Scenario recommendation</x:v>
      </x:c>
      <x:c r="D186" s="84" t="str">
        <x:v>The platform shall allow analysts to document a recommended scenario, tradeoffs, rejected alternatives, conditions, and the decision requested from leadership.</x:v>
      </x:c>
      <x:c r="E186" s="85" t="str">
        <x:v>Must</x:v>
      </x:c>
      <x:c r="F186" s="85" t="str">
        <x:v>4</x:v>
      </x:c>
      <x:c r="G186" s="85" t="str">
        <x:v>Configure</x:v>
      </x:c>
      <x:c r="H186" s="84" t="str">
        <x:v>Forecasting, Scenario Planning, and Change Impact</x:v>
      </x:c>
      <x:c r="I186" s="84" t="str">
        <x:v>Portfolio Analyst</x:v>
      </x:c>
      <x:c r="J186" s="85" t="str">
        <x:v>Demonstration</x:v>
      </x:c>
      <x:c r="K186" s="85" t="str">
        <x:v>Proposed</x:v>
      </x:c>
      <x:c r="L186" s="84" t="str"/>
      <x:c r="M186" s="84" t="str"/>
      <x:c r="N186" s="84" t="str"/>
      <x:c r="O186" s="84" t="str"/>
      <x:c r="P186" s="84" t="str"/>
      <x:c r="Q186" s="84" t="str"/>
      <x:c r="R186" s="84" t="str"/>
      <x:c r="S186" s="84" t="str"/>
      <x:c r="T186" s="84" t="str"/>
    </x:row>
    <x:row r="187" ht="44" customHeight="1">
      <x:c r="A187" s="83" t="str">
        <x:v>SCN-013</x:v>
      </x:c>
      <x:c r="B187" s="84" t="str">
        <x:v>Forecasting, Scenario Planning, and Change Impact</x:v>
      </x:c>
      <x:c r="C187" s="84" t="str">
        <x:v>Scenario approval and promotion</x:v>
      </x:c>
      <x:c r="D187" s="84" t="str">
        <x:v>An approved scenario shall be promotable to a new baseline through controlled change, preserving the prior baseline and decision record.</x:v>
      </x:c>
      <x:c r="E187" s="85" t="str">
        <x:v>Must</x:v>
      </x:c>
      <x:c r="F187" s="85" t="str">
        <x:v>4</x:v>
      </x:c>
      <x:c r="G187" s="85" t="str">
        <x:v>Configure</x:v>
      </x:c>
      <x:c r="H187" s="84" t="str">
        <x:v>Forecasting, Scenario Planning, and Change Impact</x:v>
      </x:c>
      <x:c r="I187" s="84" t="str">
        <x:v>Portfolio Governance Board</x:v>
      </x:c>
      <x:c r="J187" s="85" t="str">
        <x:v>Demonstration</x:v>
      </x:c>
      <x:c r="K187" s="85" t="str">
        <x:v>Proposed</x:v>
      </x:c>
      <x:c r="L187" s="84" t="str"/>
      <x:c r="M187" s="84" t="str"/>
      <x:c r="N187" s="84" t="str"/>
      <x:c r="O187" s="84" t="str"/>
      <x:c r="P187" s="84" t="str"/>
      <x:c r="Q187" s="84" t="str"/>
      <x:c r="R187" s="84" t="str"/>
      <x:c r="S187" s="84" t="str"/>
      <x:c r="T187" s="84" t="str"/>
    </x:row>
    <x:row r="188" ht="44" customHeight="1">
      <x:c r="A188" s="83" t="str">
        <x:v>SCN-014</x:v>
      </x:c>
      <x:c r="B188" s="84" t="str">
        <x:v>Forecasting, Scenario Planning, and Change Impact</x:v>
      </x:c>
      <x:c r="C188" s="84" t="str">
        <x:v>Forecast accuracy</x:v>
      </x:c>
      <x:c r="D188" s="84" t="str">
        <x:v>The platform shall compare prior forecasts to actual results for schedule, effort, cost, demand, and benefits and report forecast bias and accuracy over time.</x:v>
      </x:c>
      <x:c r="E188" s="85" t="str">
        <x:v>Must</x:v>
      </x:c>
      <x:c r="F188" s="85" t="str">
        <x:v>5</x:v>
      </x:c>
      <x:c r="G188" s="85" t="str">
        <x:v>Configure</x:v>
      </x:c>
      <x:c r="H188" s="84" t="str">
        <x:v>Forecasting, Scenario Planning, and Change Impact</x:v>
      </x:c>
      <x:c r="I188" s="84" t="str">
        <x:v>Portfolio Analyst</x:v>
      </x:c>
      <x:c r="J188" s="85" t="str">
        <x:v>Demonstration</x:v>
      </x:c>
      <x:c r="K188" s="85" t="str">
        <x:v>Proposed</x:v>
      </x:c>
      <x:c r="L188" s="84" t="str"/>
      <x:c r="M188" s="84" t="str"/>
      <x:c r="N188" s="84" t="str"/>
      <x:c r="O188" s="84" t="str"/>
      <x:c r="P188" s="84" t="str"/>
      <x:c r="Q188" s="84" t="str"/>
      <x:c r="R188" s="84" t="str"/>
      <x:c r="S188" s="84" t="str"/>
      <x:c r="T188" s="84" t="str"/>
    </x:row>
    <x:row r="189" ht="44" customHeight="1">
      <x:c r="A189" s="83" t="str">
        <x:v>SCN-015</x:v>
      </x:c>
      <x:c r="B189" s="84" t="str">
        <x:v>Forecasting, Scenario Planning, and Change Impact</x:v>
      </x:c>
      <x:c r="C189" s="84" t="str">
        <x:v>Early warning indicators</x:v>
      </x:c>
      <x:c r="D189" s="84" t="str">
        <x:v>The platform shall surface leading indicators such as rising unplanned work, milestone confidence decline, resource churn, unfilled critical roles, stale status, and repeated financial variance.</x:v>
      </x:c>
      <x:c r="E189" s="85" t="str">
        <x:v>Must</x:v>
      </x:c>
      <x:c r="F189" s="85" t="str">
        <x:v>4</x:v>
      </x:c>
      <x:c r="G189" s="85" t="str">
        <x:v>Extend</x:v>
      </x:c>
      <x:c r="H189" s="84" t="str">
        <x:v>Forecasting, Scenario Planning, and Change Impact</x:v>
      </x:c>
      <x:c r="I189" s="84" t="str">
        <x:v>Portfolio Analyst</x:v>
      </x:c>
      <x:c r="J189" s="85" t="str">
        <x:v>Demonstration</x:v>
      </x:c>
      <x:c r="K189" s="85" t="str">
        <x:v>Proposed</x:v>
      </x:c>
      <x:c r="L189" s="84" t="str"/>
      <x:c r="M189" s="84" t="str"/>
      <x:c r="N189" s="84" t="str"/>
      <x:c r="O189" s="84" t="str"/>
      <x:c r="P189" s="84" t="str"/>
      <x:c r="Q189" s="84" t="str"/>
      <x:c r="R189" s="84" t="str"/>
      <x:c r="S189" s="84" t="str"/>
      <x:c r="T189" s="84" t="str"/>
    </x:row>
    <x:row r="190" ht="44" customHeight="1">
      <x:c r="A190" s="83" t="str">
        <x:v>SCN-016</x:v>
      </x:c>
      <x:c r="B190" s="84" t="str">
        <x:v>Forecasting, Scenario Planning, and Change Impact</x:v>
      </x:c>
      <x:c r="C190" s="84" t="str">
        <x:v>Decision latency impact</x:v>
      </x:c>
      <x:c r="D190" s="84" t="str">
        <x:v>The platform shall estimate and report the effect of overdue approvals or unresolved decisions on schedule, cost, resource use, and mission outcomes.</x:v>
      </x:c>
      <x:c r="E190" s="85" t="str">
        <x:v>Must</x:v>
      </x:c>
      <x:c r="F190" s="85" t="str">
        <x:v>4</x:v>
      </x:c>
      <x:c r="G190" s="85" t="str">
        <x:v>Extend</x:v>
      </x:c>
      <x:c r="H190" s="84" t="str">
        <x:v>Forecasting, Scenario Planning, and Change Impact</x:v>
      </x:c>
      <x:c r="I190" s="84" t="str">
        <x:v>Portfolio Analyst</x:v>
      </x:c>
      <x:c r="J190" s="85" t="str">
        <x:v>Demonstration</x:v>
      </x:c>
      <x:c r="K190" s="85" t="str">
        <x:v>Proposed</x:v>
      </x:c>
      <x:c r="L190" s="84" t="str"/>
      <x:c r="M190" s="84" t="str"/>
      <x:c r="N190" s="84" t="str"/>
      <x:c r="O190" s="84" t="str"/>
      <x:c r="P190" s="84" t="str"/>
      <x:c r="Q190" s="84" t="str"/>
      <x:c r="R190" s="84" t="str"/>
      <x:c r="S190" s="84" t="str"/>
      <x:c r="T190" s="84" t="str"/>
    </x:row>
    <x:row r="191" ht="44" customHeight="1">
      <x:c r="A191" s="83" t="str">
        <x:v>DSH-001</x:v>
      </x:c>
      <x:c r="B191" s="84" t="str">
        <x:v>Dashboards, Reporting, and the DDC5I Story</x:v>
      </x:c>
      <x:c r="C191" s="84" t="str">
        <x:v>Senior dashboard</x:v>
      </x:c>
      <x:c r="D191" s="84" t="str">
        <x:v>The DDC5I senior-level dashboard shall provide enterprise priorities, mission alignment, demand versus capacity, portfolio health, resource and skill gaps, budget and actuals, roadblocks, dependencies, decisions required, and forecast change impacts.</x:v>
      </x:c>
      <x:c r="E191" s="85" t="str">
        <x:v>Must</x:v>
      </x:c>
      <x:c r="F191" s="85" t="str">
        <x:v>1</x:v>
      </x:c>
      <x:c r="G191" s="85" t="str">
        <x:v>Configure</x:v>
      </x:c>
      <x:c r="H191" s="84" t="str">
        <x:v>Dashboards, Reporting, and the DDC5I Story</x:v>
      </x:c>
      <x:c r="I191" s="84" t="str">
        <x:v>DDC5I Portfolio Owner</x:v>
      </x:c>
      <x:c r="J191" s="85" t="str">
        <x:v>Demonstration</x:v>
      </x:c>
      <x:c r="K191" s="85" t="str">
        <x:v>Proposed</x:v>
      </x:c>
      <x:c r="L191" s="84" t="str"/>
      <x:c r="M191" s="84" t="str"/>
      <x:c r="N191" s="84" t="str"/>
      <x:c r="O191" s="84" t="str"/>
      <x:c r="P191" s="84" t="str"/>
      <x:c r="Q191" s="84" t="str"/>
      <x:c r="R191" s="84" t="str"/>
      <x:c r="S191" s="84" t="str"/>
      <x:c r="T191" s="84" t="str"/>
    </x:row>
    <x:row r="192" ht="44" customHeight="1">
      <x:c r="A192" s="83" t="str">
        <x:v>DSH-002</x:v>
      </x:c>
      <x:c r="B192" s="84" t="str">
        <x:v>Dashboards, Reporting, and the DDC5I Story</x:v>
      </x:c>
      <x:c r="C192" s="84" t="str">
        <x:v>Division dashboard</x:v>
      </x:c>
      <x:c r="D192" s="84" t="str">
        <x:v>Each division dashboard shall show its missions and core functions, demand pipeline, approved projects, schedule and financial health, workforce capacity, skill gaps, roadblocks, dependencies, benefits, and required leader actions.</x:v>
      </x:c>
      <x:c r="E192" s="85" t="str">
        <x:v>Must</x:v>
      </x:c>
      <x:c r="F192" s="85" t="str">
        <x:v>1</x:v>
      </x:c>
      <x:c r="G192" s="85" t="str">
        <x:v>Configure</x:v>
      </x:c>
      <x:c r="H192" s="84" t="str">
        <x:v>Dashboards, Reporting, and the DDC5I Story</x:v>
      </x:c>
      <x:c r="I192" s="84" t="str">
        <x:v>Division Chief</x:v>
      </x:c>
      <x:c r="J192" s="85" t="str">
        <x:v>Demonstration</x:v>
      </x:c>
      <x:c r="K192" s="85" t="str">
        <x:v>Proposed</x:v>
      </x:c>
      <x:c r="L192" s="84" t="str"/>
      <x:c r="M192" s="84" t="str"/>
      <x:c r="N192" s="84" t="str"/>
      <x:c r="O192" s="84" t="str"/>
      <x:c r="P192" s="84" t="str"/>
      <x:c r="Q192" s="84" t="str"/>
      <x:c r="R192" s="84" t="str"/>
      <x:c r="S192" s="84" t="str"/>
      <x:c r="T192" s="84" t="str"/>
    </x:row>
    <x:row r="193" ht="44" customHeight="1">
      <x:c r="A193" s="83" t="str">
        <x:v>DSH-003</x:v>
      </x:c>
      <x:c r="B193" s="84" t="str">
        <x:v>Dashboards, Reporting, and the DDC5I Story</x:v>
      </x:c>
      <x:c r="C193" s="84" t="str">
        <x:v>User project dashboard</x:v>
      </x:c>
      <x:c r="D193" s="84" t="str">
        <x:v>Each user shall have a personalized view of assigned projects, tasks, approvals, actions, risks, time or effort updates, upcoming milestones, and notifications.</x:v>
      </x:c>
      <x:c r="E193" s="85" t="str">
        <x:v>Must</x:v>
      </x:c>
      <x:c r="F193" s="85" t="str">
        <x:v>2</x:v>
      </x:c>
      <x:c r="G193" s="85" t="str">
        <x:v>Configure</x:v>
      </x:c>
      <x:c r="H193" s="84" t="str">
        <x:v>Dashboards, Reporting, and the DDC5I Story</x:v>
      </x:c>
      <x:c r="I193" s="84" t="str">
        <x:v>Product Owner</x:v>
      </x:c>
      <x:c r="J193" s="85" t="str">
        <x:v>Demonstration</x:v>
      </x:c>
      <x:c r="K193" s="85" t="str">
        <x:v>Proposed</x:v>
      </x:c>
      <x:c r="L193" s="84" t="str"/>
      <x:c r="M193" s="84" t="str"/>
      <x:c r="N193" s="84" t="str"/>
      <x:c r="O193" s="84" t="str"/>
      <x:c r="P193" s="84" t="str"/>
      <x:c r="Q193" s="84" t="str"/>
      <x:c r="R193" s="84" t="str"/>
      <x:c r="S193" s="84" t="str"/>
      <x:c r="T193" s="84" t="str"/>
    </x:row>
    <x:row r="194" ht="44" customHeight="1">
      <x:c r="A194" s="83" t="str">
        <x:v>DSH-004</x:v>
      </x:c>
      <x:c r="B194" s="84" t="str">
        <x:v>Dashboards, Reporting, and the DDC5I Story</x:v>
      </x:c>
      <x:c r="C194" s="84" t="str">
        <x:v>Drill-down traceability</x:v>
      </x:c>
      <x:c r="D194" s="84" t="str">
        <x:v>Every aggregate metric shall drill down to the contributing divisions, projects, demands, resources, financial records, assumptions, and data freshness needed to explain it.</x:v>
      </x:c>
      <x:c r="E194" s="85" t="str">
        <x:v>Must</x:v>
      </x:c>
      <x:c r="F194" s="85" t="str">
        <x:v>1</x:v>
      </x:c>
      <x:c r="G194" s="85" t="str">
        <x:v>Configure</x:v>
      </x:c>
      <x:c r="H194" s="84" t="str">
        <x:v>Dashboards, Reporting, and the DDC5I Story</x:v>
      </x:c>
      <x:c r="I194" s="84" t="str">
        <x:v>Data Steward</x:v>
      </x:c>
      <x:c r="J194" s="85" t="str">
        <x:v>Demonstration</x:v>
      </x:c>
      <x:c r="K194" s="85" t="str">
        <x:v>Proposed</x:v>
      </x:c>
      <x:c r="L194" s="84" t="str"/>
      <x:c r="M194" s="84" t="str"/>
      <x:c r="N194" s="84" t="str"/>
      <x:c r="O194" s="84" t="str"/>
      <x:c r="P194" s="84" t="str"/>
      <x:c r="Q194" s="84" t="str"/>
      <x:c r="R194" s="84" t="str"/>
      <x:c r="S194" s="84" t="str"/>
      <x:c r="T194" s="84" t="str"/>
    </x:row>
    <x:row r="195" ht="44" customHeight="1">
      <x:c r="A195" s="83" t="str">
        <x:v>DSH-005</x:v>
      </x:c>
      <x:c r="B195" s="84" t="str">
        <x:v>Dashboards, Reporting, and the DDC5I Story</x:v>
      </x:c>
      <x:c r="C195" s="84" t="str">
        <x:v>Priority and gap view</x:v>
      </x:c>
      <x:c r="D195" s="84" t="str">
        <x:v>Senior leaders shall see approved priority order, priority conflicts, mission gaps, capacity gaps, skill gaps, funding gaps, and work at risk.</x:v>
      </x:c>
      <x:c r="E195" s="85" t="str">
        <x:v>Must</x:v>
      </x:c>
      <x:c r="F195" s="85" t="str">
        <x:v>1</x:v>
      </x:c>
      <x:c r="G195" s="85" t="str">
        <x:v>Configure</x:v>
      </x:c>
      <x:c r="H195" s="84" t="str">
        <x:v>Dashboards, Reporting, and the DDC5I Story</x:v>
      </x:c>
      <x:c r="I195" s="84" t="str">
        <x:v>DDC5I Portfolio Owner</x:v>
      </x:c>
      <x:c r="J195" s="85" t="str">
        <x:v>Demonstration</x:v>
      </x:c>
      <x:c r="K195" s="85" t="str">
        <x:v>Proposed</x:v>
      </x:c>
      <x:c r="L195" s="84" t="str"/>
      <x:c r="M195" s="84" t="str"/>
      <x:c r="N195" s="84" t="str"/>
      <x:c r="O195" s="84" t="str"/>
      <x:c r="P195" s="84" t="str"/>
      <x:c r="Q195" s="84" t="str"/>
      <x:c r="R195" s="84" t="str"/>
      <x:c r="S195" s="84" t="str"/>
      <x:c r="T195" s="84" t="str"/>
    </x:row>
    <x:row r="196" ht="44" customHeight="1">
      <x:c r="A196" s="83" t="str">
        <x:v>DSH-006</x:v>
      </x:c>
      <x:c r="B196" s="84" t="str">
        <x:v>Dashboards, Reporting, and the DDC5I Story</x:v>
      </x:c>
      <x:c r="C196" s="84" t="str">
        <x:v>Planned versus actual view</x:v>
      </x:c>
      <x:c r="D196" s="84" t="str">
        <x:v>Dashboards shall compare planned and actual schedule, effort, staffing, cost, deliverables, and benefits with clear variance thresholds and explanations.</x:v>
      </x:c>
      <x:c r="E196" s="85" t="str">
        <x:v>Must</x:v>
      </x:c>
      <x:c r="F196" s="85" t="str">
        <x:v>3</x:v>
      </x:c>
      <x:c r="G196" s="85" t="str">
        <x:v>Configure</x:v>
      </x:c>
      <x:c r="H196" s="84" t="str">
        <x:v>Dashboards, Reporting, and the DDC5I Story</x:v>
      </x:c>
      <x:c r="I196" s="84" t="str">
        <x:v>Portfolio Manager</x:v>
      </x:c>
      <x:c r="J196" s="85" t="str">
        <x:v>Demonstration</x:v>
      </x:c>
      <x:c r="K196" s="85" t="str">
        <x:v>Proposed</x:v>
      </x:c>
      <x:c r="L196" s="84" t="str"/>
      <x:c r="M196" s="84" t="str"/>
      <x:c r="N196" s="84" t="str"/>
      <x:c r="O196" s="84" t="str"/>
      <x:c r="P196" s="84" t="str"/>
      <x:c r="Q196" s="84" t="str"/>
      <x:c r="R196" s="84" t="str"/>
      <x:c r="S196" s="84" t="str"/>
      <x:c r="T196" s="84" t="str"/>
    </x:row>
    <x:row r="197" ht="44" customHeight="1">
      <x:c r="A197" s="83" t="str">
        <x:v>DSH-007</x:v>
      </x:c>
      <x:c r="B197" s="84" t="str">
        <x:v>Dashboards, Reporting, and the DDC5I Story</x:v>
      </x:c>
      <x:c r="C197" s="84" t="str">
        <x:v>Roadblock and decision view</x:v>
      </x:c>
      <x:c r="D197" s="84" t="str">
        <x:v>Dashboards shall rank unresolved roadblocks and decisions by mission impact, urgency, affected projects, aging, and accountable owner.</x:v>
      </x:c>
      <x:c r="E197" s="85" t="str">
        <x:v>Must</x:v>
      </x:c>
      <x:c r="F197" s="85" t="str">
        <x:v>2</x:v>
      </x:c>
      <x:c r="G197" s="85" t="str">
        <x:v>Configure</x:v>
      </x:c>
      <x:c r="H197" s="84" t="str">
        <x:v>Dashboards, Reporting, and the DDC5I Story</x:v>
      </x:c>
      <x:c r="I197" s="84" t="str">
        <x:v>DDC5I Portfolio Owner</x:v>
      </x:c>
      <x:c r="J197" s="85" t="str">
        <x:v>Demonstration</x:v>
      </x:c>
      <x:c r="K197" s="85" t="str">
        <x:v>Proposed</x:v>
      </x:c>
      <x:c r="L197" s="84" t="str"/>
      <x:c r="M197" s="84" t="str"/>
      <x:c r="N197" s="84" t="str"/>
      <x:c r="O197" s="84" t="str"/>
      <x:c r="P197" s="84" t="str"/>
      <x:c r="Q197" s="84" t="str"/>
      <x:c r="R197" s="84" t="str"/>
      <x:c r="S197" s="84" t="str"/>
      <x:c r="T197" s="84" t="str"/>
    </x:row>
    <x:row r="198" ht="44" customHeight="1">
      <x:c r="A198" s="83" t="str">
        <x:v>DSH-008</x:v>
      </x:c>
      <x:c r="B198" s="84" t="str">
        <x:v>Dashboards, Reporting, and the DDC5I Story</x:v>
      </x:c>
      <x:c r="C198" s="84" t="str">
        <x:v>Dependency view</x:v>
      </x:c>
      <x:c r="D198" s="84" t="str">
        <x:v>Leaders shall visualize critical internal and external dependencies, lead and support organizations, required contributions, and downstream impacts.</x:v>
      </x:c>
      <x:c r="E198" s="85" t="str">
        <x:v>Must</x:v>
      </x:c>
      <x:c r="F198" s="85" t="str">
        <x:v>3</x:v>
      </x:c>
      <x:c r="G198" s="85" t="str">
        <x:v>Configure</x:v>
      </x:c>
      <x:c r="H198" s="84" t="str">
        <x:v>Dashboards, Reporting, and the DDC5I Story</x:v>
      </x:c>
      <x:c r="I198" s="84" t="str">
        <x:v>Portfolio Manager</x:v>
      </x:c>
      <x:c r="J198" s="85" t="str">
        <x:v>Demonstration</x:v>
      </x:c>
      <x:c r="K198" s="85" t="str">
        <x:v>Proposed</x:v>
      </x:c>
      <x:c r="L198" s="84" t="str"/>
      <x:c r="M198" s="84" t="str"/>
      <x:c r="N198" s="84" t="str"/>
      <x:c r="O198" s="84" t="str"/>
      <x:c r="P198" s="84" t="str"/>
      <x:c r="Q198" s="84" t="str"/>
      <x:c r="R198" s="84" t="str"/>
      <x:c r="S198" s="84" t="str"/>
      <x:c r="T198" s="84" t="str"/>
    </x:row>
    <x:row r="199" ht="44" customHeight="1">
      <x:c r="A199" s="83" t="str">
        <x:v>DSH-009</x:v>
      </x:c>
      <x:c r="B199" s="84" t="str">
        <x:v>Dashboards, Reporting, and the DDC5I Story</x:v>
      </x:c>
      <x:c r="C199" s="84" t="str">
        <x:v>Resource heatmaps</x:v>
      </x:c>
      <x:c r="D199" s="84" t="str">
        <x:v>Dashboards shall display capacity, allocation, over-allocation, vacancies, skill shortages, and core-function coverage by division, team, role, skill, and time period.</x:v>
      </x:c>
      <x:c r="E199" s="85" t="str">
        <x:v>Must</x:v>
      </x:c>
      <x:c r="F199" s="85" t="str">
        <x:v>3</x:v>
      </x:c>
      <x:c r="G199" s="85" t="str">
        <x:v>Configure</x:v>
      </x:c>
      <x:c r="H199" s="84" t="str">
        <x:v>Dashboards, Reporting, and the DDC5I Story</x:v>
      </x:c>
      <x:c r="I199" s="84" t="str">
        <x:v>Resource Manager</x:v>
      </x:c>
      <x:c r="J199" s="85" t="str">
        <x:v>Demonstration</x:v>
      </x:c>
      <x:c r="K199" s="85" t="str">
        <x:v>Proposed</x:v>
      </x:c>
      <x:c r="L199" s="84" t="str"/>
      <x:c r="M199" s="84" t="str"/>
      <x:c r="N199" s="84" t="str"/>
      <x:c r="O199" s="84" t="str"/>
      <x:c r="P199" s="84" t="str"/>
      <x:c r="Q199" s="84" t="str"/>
      <x:c r="R199" s="84" t="str"/>
      <x:c r="S199" s="84" t="str"/>
      <x:c r="T199" s="84" t="str"/>
    </x:row>
    <x:row r="200" ht="44" customHeight="1">
      <x:c r="A200" s="83" t="str">
        <x:v>DSH-010</x:v>
      </x:c>
      <x:c r="B200" s="84" t="str">
        <x:v>Dashboards, Reporting, and the DDC5I Story</x:v>
      </x:c>
      <x:c r="C200" s="84" t="str">
        <x:v>Financial dashboard</x:v>
      </x:c>
      <x:c r="D200" s="84" t="str">
        <x:v>Authorized leaders shall view budget, actuals, forecast, variance, burn rate, estimate at completion, unfunded requirements, and expiring or at-risk funding.</x:v>
      </x:c>
      <x:c r="E200" s="85" t="str">
        <x:v>Must</x:v>
      </x:c>
      <x:c r="F200" s="85" t="str">
        <x:v>3</x:v>
      </x:c>
      <x:c r="G200" s="85" t="str">
        <x:v>Configure</x:v>
      </x:c>
      <x:c r="H200" s="84" t="str">
        <x:v>Dashboards, Reporting, and the DDC5I Story</x:v>
      </x:c>
      <x:c r="I200" s="84" t="str">
        <x:v>Financial Manager</x:v>
      </x:c>
      <x:c r="J200" s="85" t="str">
        <x:v>Demonstration</x:v>
      </x:c>
      <x:c r="K200" s="85" t="str">
        <x:v>Proposed</x:v>
      </x:c>
      <x:c r="L200" s="84" t="str"/>
      <x:c r="M200" s="84" t="str"/>
      <x:c r="N200" s="84" t="str"/>
      <x:c r="O200" s="84" t="str"/>
      <x:c r="P200" s="84" t="str"/>
      <x:c r="Q200" s="84" t="str"/>
      <x:c r="R200" s="84" t="str"/>
      <x:c r="S200" s="84" t="str"/>
      <x:c r="T200" s="84" t="str"/>
    </x:row>
    <x:row r="201" ht="44" customHeight="1">
      <x:c r="A201" s="83" t="str">
        <x:v>DSH-011</x:v>
      </x:c>
      <x:c r="B201" s="84" t="str">
        <x:v>Dashboards, Reporting, and the DDC5I Story</x:v>
      </x:c>
      <x:c r="C201" s="84" t="str">
        <x:v>Forecast dashboard</x:v>
      </x:c>
      <x:c r="D201" s="84" t="str">
        <x:v>Leaders shall compare the approved baseline with proposed scenarios and see mission, project, resource, cost, risk, and stakeholder impacts.</x:v>
      </x:c>
      <x:c r="E201" s="85" t="str">
        <x:v>Must</x:v>
      </x:c>
      <x:c r="F201" s="85" t="str">
        <x:v>4</x:v>
      </x:c>
      <x:c r="G201" s="85" t="str">
        <x:v>Configure</x:v>
      </x:c>
      <x:c r="H201" s="84" t="str">
        <x:v>Dashboards, Reporting, and the DDC5I Story</x:v>
      </x:c>
      <x:c r="I201" s="84" t="str">
        <x:v>Portfolio Analyst</x:v>
      </x:c>
      <x:c r="J201" s="85" t="str">
        <x:v>Demonstration</x:v>
      </x:c>
      <x:c r="K201" s="85" t="str">
        <x:v>Proposed</x:v>
      </x:c>
      <x:c r="L201" s="84" t="str"/>
      <x:c r="M201" s="84" t="str"/>
      <x:c r="N201" s="84" t="str"/>
      <x:c r="O201" s="84" t="str"/>
      <x:c r="P201" s="84" t="str"/>
      <x:c r="Q201" s="84" t="str"/>
      <x:c r="R201" s="84" t="str"/>
      <x:c r="S201" s="84" t="str"/>
      <x:c r="T201" s="84" t="str"/>
    </x:row>
    <x:row r="202" ht="44" customHeight="1">
      <x:c r="A202" s="83" t="str">
        <x:v>DSH-012</x:v>
      </x:c>
      <x:c r="B202" s="84" t="str">
        <x:v>Dashboards, Reporting, and the DDC5I Story</x:v>
      </x:c>
      <x:c r="C202" s="84" t="str">
        <x:v>DDC5I story</x:v>
      </x:c>
      <x:c r="D202" s="84" t="str">
        <x:v>The platform shall generate an audience-tailored narrative connecting DDC5I mission, division functions, key projects, resources applied, outcomes, and value to the Joint Staff and Joint or coalition forces.</x:v>
      </x:c>
      <x:c r="E202" s="85" t="str">
        <x:v>Must</x:v>
      </x:c>
      <x:c r="F202" s="85" t="str">
        <x:v>2</x:v>
      </x:c>
      <x:c r="G202" s="85" t="str">
        <x:v>Extend</x:v>
      </x:c>
      <x:c r="H202" s="84" t="str">
        <x:v>Dashboards, Reporting, and the DDC5I Story</x:v>
      </x:c>
      <x:c r="I202" s="84" t="str">
        <x:v>Communications Lead</x:v>
      </x:c>
      <x:c r="J202" s="85" t="str">
        <x:v>Demonstration</x:v>
      </x:c>
      <x:c r="K202" s="85" t="str">
        <x:v>Proposed</x:v>
      </x:c>
      <x:c r="L202" s="84" t="str"/>
      <x:c r="M202" s="84" t="str"/>
      <x:c r="N202" s="84" t="str"/>
      <x:c r="O202" s="84" t="str"/>
      <x:c r="P202" s="84" t="str"/>
      <x:c r="Q202" s="84" t="str"/>
      <x:c r="R202" s="84" t="str"/>
      <x:c r="S202" s="84" t="str"/>
      <x:c r="T202" s="84" t="str"/>
    </x:row>
    <x:row r="203" ht="44" customHeight="1">
      <x:c r="A203" s="83" t="str">
        <x:v>DSH-013</x:v>
      </x:c>
      <x:c r="B203" s="84" t="str">
        <x:v>Dashboards, Reporting, and the DDC5I Story</x:v>
      </x:c>
      <x:c r="C203" s="84" t="str">
        <x:v>Purpose-end state-value card</x:v>
      </x:c>
      <x:c r="D203" s="84" t="str">
        <x:v>Every core function and named project shall present a concise card containing purpose, problem, end state, sponsor, lead and support relationships, resources, key outcomes, ROI or value, and consequences of inaction.</x:v>
      </x:c>
      <x:c r="E203" s="85" t="str">
        <x:v>Must</x:v>
      </x:c>
      <x:c r="F203" s="85" t="str">
        <x:v>2</x:v>
      </x:c>
      <x:c r="G203" s="85" t="str">
        <x:v>Extend</x:v>
      </x:c>
      <x:c r="H203" s="84" t="str">
        <x:v>Dashboards, Reporting, and the DDC5I Story</x:v>
      </x:c>
      <x:c r="I203" s="84" t="str">
        <x:v>Benefits Owner</x:v>
      </x:c>
      <x:c r="J203" s="85" t="str">
        <x:v>Demonstration</x:v>
      </x:c>
      <x:c r="K203" s="85" t="str">
        <x:v>Proposed</x:v>
      </x:c>
      <x:c r="L203" s="84" t="str"/>
      <x:c r="M203" s="84" t="str"/>
      <x:c r="N203" s="84" t="str"/>
      <x:c r="O203" s="84" t="str"/>
      <x:c r="P203" s="84" t="str"/>
      <x:c r="Q203" s="84" t="str"/>
      <x:c r="R203" s="84" t="str"/>
      <x:c r="S203" s="84" t="str"/>
      <x:c r="T203" s="84" t="str"/>
    </x:row>
    <x:row r="204" ht="44" customHeight="1">
      <x:c r="A204" s="83" t="str">
        <x:v>DSH-014</x:v>
      </x:c>
      <x:c r="B204" s="84" t="str">
        <x:v>Dashboards, Reporting, and the DDC5I Story</x:v>
      </x:c>
      <x:c r="C204" s="84" t="str">
        <x:v>Executive brief generation</x:v>
      </x:c>
      <x:c r="D204" s="84" t="str">
        <x:v>Authorized users shall generate a current executive brief in approved Word, PowerPoint, PDF, or print-ready formats with selectable division, time period, audience, and classification markings.</x:v>
      </x:c>
      <x:c r="E204" s="85" t="str">
        <x:v>Must</x:v>
      </x:c>
      <x:c r="F204" s="85" t="str">
        <x:v>3</x:v>
      </x:c>
      <x:c r="G204" s="85" t="str">
        <x:v>Extend</x:v>
      </x:c>
      <x:c r="H204" s="84" t="str">
        <x:v>Dashboards, Reporting, and the DDC5I Story</x:v>
      </x:c>
      <x:c r="I204" s="84" t="str">
        <x:v>Communications Lead</x:v>
      </x:c>
      <x:c r="J204" s="85" t="str">
        <x:v>Demonstration</x:v>
      </x:c>
      <x:c r="K204" s="85" t="str">
        <x:v>Proposed</x:v>
      </x:c>
      <x:c r="L204" s="84" t="str"/>
      <x:c r="M204" s="84" t="str"/>
      <x:c r="N204" s="84" t="str"/>
      <x:c r="O204" s="84" t="str"/>
      <x:c r="P204" s="84" t="str"/>
      <x:c r="Q204" s="84" t="str"/>
      <x:c r="R204" s="84" t="str"/>
      <x:c r="S204" s="84" t="str"/>
      <x:c r="T204" s="84" t="str"/>
    </x:row>
    <x:row r="205" ht="44" customHeight="1">
      <x:c r="A205" s="83" t="str">
        <x:v>DSH-015</x:v>
      </x:c>
      <x:c r="B205" s="84" t="str">
        <x:v>Dashboards, Reporting, and the DDC5I Story</x:v>
      </x:c>
      <x:c r="C205" s="84" t="str">
        <x:v>Recurring report packs</x:v>
      </x:c>
      <x:c r="D205" s="84" t="str">
        <x:v>The platform shall schedule, generate, and distribute weekly, monthly, quarterly, and ad hoc portfolio reports to authorized stakeholder groups using governed definitions and data cutoffs.</x:v>
      </x:c>
      <x:c r="E205" s="85" t="str">
        <x:v>Must</x:v>
      </x:c>
      <x:c r="F205" s="85" t="str">
        <x:v>2</x:v>
      </x:c>
      <x:c r="G205" s="85" t="str">
        <x:v>Configure</x:v>
      </x:c>
      <x:c r="H205" s="84" t="str">
        <x:v>Dashboards, Reporting, and the DDC5I Story</x:v>
      </x:c>
      <x:c r="I205" s="84" t="str">
        <x:v>Portfolio Management Office</x:v>
      </x:c>
      <x:c r="J205" s="85" t="str">
        <x:v>Demonstration</x:v>
      </x:c>
      <x:c r="K205" s="85" t="str">
        <x:v>Proposed</x:v>
      </x:c>
      <x:c r="L205" s="84" t="str"/>
      <x:c r="M205" s="84" t="str"/>
      <x:c r="N205" s="84" t="str"/>
      <x:c r="O205" s="84" t="str"/>
      <x:c r="P205" s="84" t="str"/>
      <x:c r="Q205" s="84" t="str"/>
      <x:c r="R205" s="84" t="str"/>
      <x:c r="S205" s="84" t="str"/>
      <x:c r="T205" s="84" t="str"/>
    </x:row>
    <x:row r="206" ht="44" customHeight="1">
      <x:c r="A206" s="83" t="str">
        <x:v>DSH-016</x:v>
      </x:c>
      <x:c r="B206" s="84" t="str">
        <x:v>Dashboards, Reporting, and the DDC5I Story</x:v>
      </x:c>
      <x:c r="C206" s="84" t="str">
        <x:v>Metric definitions</x:v>
      </x:c>
      <x:c r="D206" s="84" t="str">
        <x:v>Each dashboard metric shall expose its definition, formula, source, owner, refresh time, thresholds, and known limitations.</x:v>
      </x:c>
      <x:c r="E206" s="85" t="str">
        <x:v>Must</x:v>
      </x:c>
      <x:c r="F206" s="85" t="str">
        <x:v>1</x:v>
      </x:c>
      <x:c r="G206" s="85" t="str">
        <x:v>Configure</x:v>
      </x:c>
      <x:c r="H206" s="84" t="str">
        <x:v>Dashboards, Reporting, and the DDC5I Story</x:v>
      </x:c>
      <x:c r="I206" s="84" t="str">
        <x:v>Data Steward</x:v>
      </x:c>
      <x:c r="J206" s="85" t="str">
        <x:v>Demonstration</x:v>
      </x:c>
      <x:c r="K206" s="85" t="str">
        <x:v>Proposed</x:v>
      </x:c>
      <x:c r="L206" s="84" t="str"/>
      <x:c r="M206" s="84" t="str"/>
      <x:c r="N206" s="84" t="str"/>
      <x:c r="O206" s="84" t="str"/>
      <x:c r="P206" s="84" t="str"/>
      <x:c r="Q206" s="84" t="str"/>
      <x:c r="R206" s="84" t="str"/>
      <x:c r="S206" s="84" t="str"/>
      <x:c r="T206" s="84" t="str"/>
    </x:row>
    <x:row r="207" ht="44" customHeight="1">
      <x:c r="A207" s="83" t="str">
        <x:v>DSH-017</x:v>
      </x:c>
      <x:c r="B207" s="84" t="str">
        <x:v>Dashboards, Reporting, and the DDC5I Story</x:v>
      </x:c>
      <x:c r="C207" s="84" t="str">
        <x:v>Role and data filters</x:v>
      </x:c>
      <x:c r="D207" s="84" t="str">
        <x:v>Dashboards shall support authorized filtering by division, mission, function, project, priority, status, sponsor, customer, resource, skill, fiscal year, and scenario.</x:v>
      </x:c>
      <x:c r="E207" s="85" t="str">
        <x:v>Must</x:v>
      </x:c>
      <x:c r="F207" s="85" t="str">
        <x:v>1</x:v>
      </x:c>
      <x:c r="G207" s="85" t="str">
        <x:v>Configure</x:v>
      </x:c>
      <x:c r="H207" s="84" t="str">
        <x:v>Dashboards, Reporting, and the DDC5I Story</x:v>
      </x:c>
      <x:c r="I207" s="84" t="str">
        <x:v>Product Owner</x:v>
      </x:c>
      <x:c r="J207" s="85" t="str">
        <x:v>Demonstration</x:v>
      </x:c>
      <x:c r="K207" s="85" t="str">
        <x:v>Proposed</x:v>
      </x:c>
      <x:c r="L207" s="84" t="str"/>
      <x:c r="M207" s="84" t="str"/>
      <x:c r="N207" s="84" t="str"/>
      <x:c r="O207" s="84" t="str"/>
      <x:c r="P207" s="84" t="str"/>
      <x:c r="Q207" s="84" t="str"/>
      <x:c r="R207" s="84" t="str"/>
      <x:c r="S207" s="84" t="str"/>
      <x:c r="T207" s="84" t="str"/>
    </x:row>
    <x:row r="208" ht="44" customHeight="1">
      <x:c r="A208" s="83" t="str">
        <x:v>DSH-018</x:v>
      </x:c>
      <x:c r="B208" s="84" t="str">
        <x:v>Dashboards, Reporting, and the DDC5I Story</x:v>
      </x:c>
      <x:c r="C208" s="84" t="str">
        <x:v>Saved views and subscriptions</x:v>
      </x:c>
      <x:c r="D208" s="84" t="str">
        <x:v>Users shall save permitted filters, create personal or shared views, and subscribe to scheduled snapshots or exception-based notifications.</x:v>
      </x:c>
      <x:c r="E208" s="85" t="str">
        <x:v>Must</x:v>
      </x:c>
      <x:c r="F208" s="85" t="str">
        <x:v>2</x:v>
      </x:c>
      <x:c r="G208" s="85" t="str">
        <x:v>Configure</x:v>
      </x:c>
      <x:c r="H208" s="84" t="str">
        <x:v>Dashboards, Reporting, and the DDC5I Story</x:v>
      </x:c>
      <x:c r="I208" s="84" t="str">
        <x:v>Product Owner</x:v>
      </x:c>
      <x:c r="J208" s="85" t="str">
        <x:v>Demonstration</x:v>
      </x:c>
      <x:c r="K208" s="85" t="str">
        <x:v>Proposed</x:v>
      </x:c>
      <x:c r="L208" s="84" t="str"/>
      <x:c r="M208" s="84" t="str"/>
      <x:c r="N208" s="84" t="str"/>
      <x:c r="O208" s="84" t="str"/>
      <x:c r="P208" s="84" t="str"/>
      <x:c r="Q208" s="84" t="str"/>
      <x:c r="R208" s="84" t="str"/>
      <x:c r="S208" s="84" t="str"/>
      <x:c r="T208" s="84" t="str"/>
    </x:row>
    <x:row r="209" ht="44" customHeight="1">
      <x:c r="A209" s="83" t="str">
        <x:v>DSH-019</x:v>
      </x:c>
      <x:c r="B209" s="84" t="str">
        <x:v>Dashboards, Reporting, and the DDC5I Story</x:v>
      </x:c>
      <x:c r="C209" s="84" t="str">
        <x:v>Accessibility and export</x:v>
      </x:c>
      <x:c r="D209" s="84" t="str">
        <x:v>Dashboards and reports shall meet applicable Section 508 requirements and export accessible, readable data without removing security markings or access controls.</x:v>
      </x:c>
      <x:c r="E209" s="85" t="str">
        <x:v>Must</x:v>
      </x:c>
      <x:c r="F209" s="85" t="str">
        <x:v>1</x:v>
      </x:c>
      <x:c r="G209" s="85" t="str">
        <x:v>Configure</x:v>
      </x:c>
      <x:c r="H209" s="84" t="str">
        <x:v>Dashboards, Reporting, and the DDC5I Story</x:v>
      </x:c>
      <x:c r="I209" s="84" t="str">
        <x:v>Accessibility Lead</x:v>
      </x:c>
      <x:c r="J209" s="85" t="str">
        <x:v>Demonstration</x:v>
      </x:c>
      <x:c r="K209" s="85" t="str">
        <x:v>Proposed</x:v>
      </x:c>
      <x:c r="L209" s="84" t="str"/>
      <x:c r="M209" s="84" t="str"/>
      <x:c r="N209" s="84" t="str"/>
      <x:c r="O209" s="84" t="str"/>
      <x:c r="P209" s="84" t="str"/>
      <x:c r="Q209" s="84" t="str"/>
      <x:c r="R209" s="84" t="str"/>
      <x:c r="S209" s="84" t="str"/>
      <x:c r="T209" s="84" t="str"/>
    </x:row>
    <x:row r="210" ht="44" customHeight="1">
      <x:c r="A210" s="83" t="str">
        <x:v>DSH-020</x:v>
      </x:c>
      <x:c r="B210" s="84" t="str">
        <x:v>Dashboards, Reporting, and the DDC5I Story</x:v>
      </x:c>
      <x:c r="C210" s="84" t="str">
        <x:v>Health-state standardization and provenance</x:v>
      </x:c>
      <x:c r="D210" s="84" t="str">
        <x:v>Dashboards shall use governed health states such as on track, at risk, off track, blocked, and completed and shall distinguish system-calculated health, owner-reported health, and authorized overrides.</x:v>
      </x:c>
      <x:c r="E210" s="85" t="str">
        <x:v>Must</x:v>
      </x:c>
      <x:c r="F210" s="85" t="str">
        <x:v>2</x:v>
      </x:c>
      <x:c r="G210" s="85" t="str">
        <x:v>Configure</x:v>
      </x:c>
      <x:c r="H210" s="84" t="str">
        <x:v>Dashboards, Reporting, and the DDC5I Story</x:v>
      </x:c>
      <x:c r="I210" s="84" t="str">
        <x:v>Data Steward</x:v>
      </x:c>
      <x:c r="J210" s="85" t="str">
        <x:v>Demonstration</x:v>
      </x:c>
      <x:c r="K210" s="85" t="str">
        <x:v>Proposed</x:v>
      </x:c>
      <x:c r="L210" s="84" t="str"/>
      <x:c r="M210" s="84" t="str"/>
      <x:c r="N210" s="84" t="str"/>
      <x:c r="O210" s="84" t="str"/>
      <x:c r="P210" s="84" t="str"/>
      <x:c r="Q210" s="84" t="str"/>
      <x:c r="R210" s="84" t="str"/>
      <x:c r="S210" s="84" t="str"/>
      <x:c r="T210" s="84" t="str"/>
    </x:row>
    <x:row r="211" ht="44" customHeight="1">
      <x:c r="A211" s="83" t="str">
        <x:v>COL-001</x:v>
      </x:c>
      <x:c r="B211" s="84" t="str">
        <x:v>Collaboration, Notifications, and Approvals</x:v>
      </x:c>
      <x:c r="C211" s="84" t="str">
        <x:v>In-platform collaboration</x:v>
      </x:c>
      <x:c r="D211" s="84" t="str">
        <x:v>Authorized users shall comment, mention colleagues, ask questions, attach evidence, and resolve discussion threads on demands, projects, risks, decisions, resources, and costs.</x:v>
      </x:c>
      <x:c r="E211" s="85" t="str">
        <x:v>Must</x:v>
      </x:c>
      <x:c r="F211" s="85" t="str">
        <x:v>1</x:v>
      </x:c>
      <x:c r="G211" s="85" t="str">
        <x:v>Configure</x:v>
      </x:c>
      <x:c r="H211" s="84" t="str">
        <x:v>Collaboration, Notifications, and Approvals</x:v>
      </x:c>
      <x:c r="I211" s="84" t="str">
        <x:v>Product Owner</x:v>
      </x:c>
      <x:c r="J211" s="85" t="str">
        <x:v>Demonstration</x:v>
      </x:c>
      <x:c r="K211" s="85" t="str">
        <x:v>Proposed</x:v>
      </x:c>
      <x:c r="L211" s="84" t="str"/>
      <x:c r="M211" s="84" t="str"/>
      <x:c r="N211" s="84" t="str"/>
      <x:c r="O211" s="84" t="str"/>
      <x:c r="P211" s="84" t="str"/>
      <x:c r="Q211" s="84" t="str"/>
      <x:c r="R211" s="84" t="str"/>
      <x:c r="S211" s="84" t="str"/>
      <x:c r="T211" s="84" t="str"/>
    </x:row>
    <x:row r="212" ht="44" customHeight="1">
      <x:c r="A212" s="83" t="str">
        <x:v>COL-002</x:v>
      </x:c>
      <x:c r="B212" s="84" t="str">
        <x:v>Collaboration, Notifications, and Approvals</x:v>
      </x:c>
      <x:c r="C212" s="84" t="str">
        <x:v>Notification rules</x:v>
      </x:c>
      <x:c r="D212" s="84" t="str">
        <x:v>Users and administrators shall configure event, threshold, digest, reminder, and escalation notifications while preventing unnecessary duplicate messages.</x:v>
      </x:c>
      <x:c r="E212" s="85" t="str">
        <x:v>Must</x:v>
      </x:c>
      <x:c r="F212" s="85" t="str">
        <x:v>1</x:v>
      </x:c>
      <x:c r="G212" s="85" t="str">
        <x:v>Configure</x:v>
      </x:c>
      <x:c r="H212" s="84" t="str">
        <x:v>Collaboration, Notifications, and Approvals</x:v>
      </x:c>
      <x:c r="I212" s="84" t="str">
        <x:v>Workflow Administrator</x:v>
      </x:c>
      <x:c r="J212" s="85" t="str">
        <x:v>Demonstration</x:v>
      </x:c>
      <x:c r="K212" s="85" t="str">
        <x:v>Proposed</x:v>
      </x:c>
      <x:c r="L212" s="84" t="str"/>
      <x:c r="M212" s="84" t="str"/>
      <x:c r="N212" s="84" t="str"/>
      <x:c r="O212" s="84" t="str"/>
      <x:c r="P212" s="84" t="str"/>
      <x:c r="Q212" s="84" t="str"/>
      <x:c r="R212" s="84" t="str"/>
      <x:c r="S212" s="84" t="str"/>
      <x:c r="T212" s="84" t="str"/>
    </x:row>
    <x:row r="213" ht="44" customHeight="1">
      <x:c r="A213" s="83" t="str">
        <x:v>COL-003</x:v>
      </x:c>
      <x:c r="B213" s="84" t="str">
        <x:v>Collaboration, Notifications, and Approvals</x:v>
      </x:c>
      <x:c r="C213" s="84" t="str">
        <x:v>Outlook notifications</x:v>
      </x:c>
      <x:c r="D213" s="84" t="str">
        <x:v>The platform shall send Outlook-compatible notifications for submissions, assignments, approvals, due dates, exceptions, status changes, and escalations with a secure link to the authoritative record.</x:v>
      </x:c>
      <x:c r="E213" s="85" t="str">
        <x:v>Must</x:v>
      </x:c>
      <x:c r="F213" s="85" t="str">
        <x:v>1</x:v>
      </x:c>
      <x:c r="G213" s="85" t="str">
        <x:v>Integrate</x:v>
      </x:c>
      <x:c r="H213" s="84" t="str">
        <x:v>Collaboration, Notifications, and Approvals</x:v>
      </x:c>
      <x:c r="I213" s="84" t="str">
        <x:v>Integration Owner</x:v>
      </x:c>
      <x:c r="J213" s="85" t="str">
        <x:v>Demonstration</x:v>
      </x:c>
      <x:c r="K213" s="85" t="str">
        <x:v>Proposed</x:v>
      </x:c>
      <x:c r="L213" s="84" t="str"/>
      <x:c r="M213" s="84" t="str"/>
      <x:c r="N213" s="84" t="str"/>
      <x:c r="O213" s="84" t="str"/>
      <x:c r="P213" s="84" t="str"/>
      <x:c r="Q213" s="84" t="str"/>
      <x:c r="R213" s="84" t="str"/>
      <x:c r="S213" s="84" t="str"/>
      <x:c r="T213" s="84" t="str"/>
    </x:row>
    <x:row r="214" ht="44" customHeight="1">
      <x:c r="A214" s="83" t="str">
        <x:v>COL-004</x:v>
      </x:c>
      <x:c r="B214" s="84" t="str">
        <x:v>Collaboration, Notifications, and Approvals</x:v>
      </x:c>
      <x:c r="C214" s="84" t="str">
        <x:v>Outlook actionable approval</x:v>
      </x:c>
      <x:c r="D214" s="84" t="str">
        <x:v>Where approved by the Microsoft 365 tenant and security authority, recipients shall be able to approve, reject, request changes, or open the record from an Outlook actionable message, with server-side validation at action time.</x:v>
      </x:c>
      <x:c r="E214" s="85" t="str">
        <x:v>Must</x:v>
      </x:c>
      <x:c r="F214" s="85" t="str">
        <x:v>3</x:v>
      </x:c>
      <x:c r="G214" s="85" t="str">
        <x:v>Integrate</x:v>
      </x:c>
      <x:c r="H214" s="84" t="str">
        <x:v>Collaboration, Notifications, and Approvals</x:v>
      </x:c>
      <x:c r="I214" s="84" t="str">
        <x:v>Integration Owner</x:v>
      </x:c>
      <x:c r="J214" s="85" t="str">
        <x:v>Demonstration</x:v>
      </x:c>
      <x:c r="K214" s="85" t="str">
        <x:v>Proposed</x:v>
      </x:c>
      <x:c r="L214" s="84" t="str"/>
      <x:c r="M214" s="84" t="str"/>
      <x:c r="N214" s="84" t="str"/>
      <x:c r="O214" s="84" t="str"/>
      <x:c r="P214" s="84" t="str"/>
      <x:c r="Q214" s="84" t="str"/>
      <x:c r="R214" s="84" t="str"/>
      <x:c r="S214" s="84" t="str"/>
      <x:c r="T214" s="84" t="str"/>
    </x:row>
    <x:row r="215" ht="44" customHeight="1">
      <x:c r="A215" s="83" t="str">
        <x:v>COL-005</x:v>
      </x:c>
      <x:c r="B215" s="84" t="str">
        <x:v>Collaboration, Notifications, and Approvals</x:v>
      </x:c>
      <x:c r="C215" s="84" t="str">
        <x:v>Stale actionable message protection</x:v>
      </x:c>
      <x:c r="D215" s="84" t="str">
        <x:v>An Outlook approval message shall not permit action after the item is withdrawn, changed materially, delegated, expired, or decided; the current status shall be displayed or retrieved before acceptance.</x:v>
      </x:c>
      <x:c r="E215" s="85" t="str">
        <x:v>Must</x:v>
      </x:c>
      <x:c r="F215" s="85" t="str">
        <x:v>3</x:v>
      </x:c>
      <x:c r="G215" s="85" t="str">
        <x:v>Integrate</x:v>
      </x:c>
      <x:c r="H215" s="84" t="str">
        <x:v>Collaboration, Notifications, and Approvals</x:v>
      </x:c>
      <x:c r="I215" s="84" t="str">
        <x:v>Security Manager</x:v>
      </x:c>
      <x:c r="J215" s="85" t="str">
        <x:v>Demonstration</x:v>
      </x:c>
      <x:c r="K215" s="85" t="str">
        <x:v>Proposed</x:v>
      </x:c>
      <x:c r="L215" s="84" t="str"/>
      <x:c r="M215" s="84" t="str"/>
      <x:c r="N215" s="84" t="str"/>
      <x:c r="O215" s="84" t="str"/>
      <x:c r="P215" s="84" t="str"/>
      <x:c r="Q215" s="84" t="str"/>
      <x:c r="R215" s="84" t="str"/>
      <x:c r="S215" s="84" t="str"/>
      <x:c r="T215" s="84" t="str"/>
    </x:row>
    <x:row r="216" ht="44" customHeight="1">
      <x:c r="A216" s="83" t="str">
        <x:v>COL-006</x:v>
      </x:c>
      <x:c r="B216" s="84" t="str">
        <x:v>Collaboration, Notifications, and Approvals</x:v>
      </x:c>
      <x:c r="C216" s="84" t="str">
        <x:v>Calendar integration</x:v>
      </x:c>
      <x:c r="D216" s="84" t="str">
        <x:v>Authorized milestones, governance events, reviews, and due dates shall synchronize or publish to Outlook calendars using configurable ownership and update rules.</x:v>
      </x:c>
      <x:c r="E216" s="85" t="str">
        <x:v>Must</x:v>
      </x:c>
      <x:c r="F216" s="85" t="str">
        <x:v>3</x:v>
      </x:c>
      <x:c r="G216" s="85" t="str">
        <x:v>Integrate</x:v>
      </x:c>
      <x:c r="H216" s="84" t="str">
        <x:v>Collaboration, Notifications, and Approvals</x:v>
      </x:c>
      <x:c r="I216" s="84" t="str">
        <x:v>Integration Owner</x:v>
      </x:c>
      <x:c r="J216" s="85" t="str">
        <x:v>Demonstration</x:v>
      </x:c>
      <x:c r="K216" s="85" t="str">
        <x:v>Proposed</x:v>
      </x:c>
      <x:c r="L216" s="84" t="str"/>
      <x:c r="M216" s="84" t="str"/>
      <x:c r="N216" s="84" t="str"/>
      <x:c r="O216" s="84" t="str"/>
      <x:c r="P216" s="84" t="str"/>
      <x:c r="Q216" s="84" t="str"/>
      <x:c r="R216" s="84" t="str"/>
      <x:c r="S216" s="84" t="str"/>
      <x:c r="T216" s="84" t="str"/>
    </x:row>
    <x:row r="217" ht="44" customHeight="1">
      <x:c r="A217" s="83" t="str">
        <x:v>COL-007</x:v>
      </x:c>
      <x:c r="B217" s="84" t="str">
        <x:v>Collaboration, Notifications, and Approvals</x:v>
      </x:c>
      <x:c r="C217" s="84" t="str">
        <x:v>Shared mailbox intake</x:v>
      </x:c>
      <x:c r="D217" s="84" t="str">
        <x:v>The platform shall support controlled intake and status notifications through approved shared mailboxes without making email the authoritative record.</x:v>
      </x:c>
      <x:c r="E217" s="85" t="str">
        <x:v>Must</x:v>
      </x:c>
      <x:c r="F217" s="85" t="str">
        <x:v>3</x:v>
      </x:c>
      <x:c r="G217" s="85" t="str">
        <x:v>Integrate</x:v>
      </x:c>
      <x:c r="H217" s="84" t="str">
        <x:v>Collaboration, Notifications, and Approvals</x:v>
      </x:c>
      <x:c r="I217" s="84" t="str">
        <x:v>Demand Manager</x:v>
      </x:c>
      <x:c r="J217" s="85" t="str">
        <x:v>Demonstration</x:v>
      </x:c>
      <x:c r="K217" s="85" t="str">
        <x:v>Proposed</x:v>
      </x:c>
      <x:c r="L217" s="84" t="str"/>
      <x:c r="M217" s="84" t="str"/>
      <x:c r="N217" s="84" t="str"/>
      <x:c r="O217" s="84" t="str"/>
      <x:c r="P217" s="84" t="str"/>
      <x:c r="Q217" s="84" t="str"/>
      <x:c r="R217" s="84" t="str"/>
      <x:c r="S217" s="84" t="str"/>
      <x:c r="T217" s="84" t="str"/>
    </x:row>
    <x:row r="218" ht="44" customHeight="1">
      <x:c r="A218" s="83" t="str">
        <x:v>COL-008</x:v>
      </x:c>
      <x:c r="B218" s="84" t="str">
        <x:v>Collaboration, Notifications, and Approvals</x:v>
      </x:c>
      <x:c r="C218" s="84" t="str">
        <x:v>Digest notifications</x:v>
      </x:c>
      <x:c r="D218" s="84" t="str">
        <x:v>Users shall be able to receive daily or weekly digests summarizing items due, overdue, changed, at risk, awaiting approval, or assigned to them.</x:v>
      </x:c>
      <x:c r="E218" s="85" t="str">
        <x:v>Must</x:v>
      </x:c>
      <x:c r="F218" s="85" t="str">
        <x:v>2</x:v>
      </x:c>
      <x:c r="G218" s="85" t="str">
        <x:v>Configure</x:v>
      </x:c>
      <x:c r="H218" s="84" t="str">
        <x:v>Collaboration, Notifications, and Approvals</x:v>
      </x:c>
      <x:c r="I218" s="84" t="str">
        <x:v>Product Owner</x:v>
      </x:c>
      <x:c r="J218" s="85" t="str">
        <x:v>Demonstration</x:v>
      </x:c>
      <x:c r="K218" s="85" t="str">
        <x:v>Proposed</x:v>
      </x:c>
      <x:c r="L218" s="84" t="str"/>
      <x:c r="M218" s="84" t="str"/>
      <x:c r="N218" s="84" t="str"/>
      <x:c r="O218" s="84" t="str"/>
      <x:c r="P218" s="84" t="str"/>
      <x:c r="Q218" s="84" t="str"/>
      <x:c r="R218" s="84" t="str"/>
      <x:c r="S218" s="84" t="str"/>
      <x:c r="T218" s="84" t="str"/>
    </x:row>
    <x:row r="219" ht="44" customHeight="1">
      <x:c r="A219" s="83" t="str">
        <x:v>COL-009</x:v>
      </x:c>
      <x:c r="B219" s="84" t="str">
        <x:v>Collaboration, Notifications, and Approvals</x:v>
      </x:c>
      <x:c r="C219" s="84" t="str">
        <x:v>Escalation</x:v>
      </x:c>
      <x:c r="D219" s="84" t="str">
        <x:v>Overdue approvals, unacknowledged assignments, critical roadblocks, and threshold breaches shall escalate according to configurable roles, time limits, and mission impact.</x:v>
      </x:c>
      <x:c r="E219" s="85" t="str">
        <x:v>Must</x:v>
      </x:c>
      <x:c r="F219" s="85" t="str">
        <x:v>1</x:v>
      </x:c>
      <x:c r="G219" s="85" t="str">
        <x:v>Configure</x:v>
      </x:c>
      <x:c r="H219" s="84" t="str">
        <x:v>Collaboration, Notifications, and Approvals</x:v>
      </x:c>
      <x:c r="I219" s="84" t="str">
        <x:v>Workflow Administrator</x:v>
      </x:c>
      <x:c r="J219" s="85" t="str">
        <x:v>Demonstration</x:v>
      </x:c>
      <x:c r="K219" s="85" t="str">
        <x:v>Proposed</x:v>
      </x:c>
      <x:c r="L219" s="84" t="str"/>
      <x:c r="M219" s="84" t="str"/>
      <x:c r="N219" s="84" t="str"/>
      <x:c r="O219" s="84" t="str"/>
      <x:c r="P219" s="84" t="str"/>
      <x:c r="Q219" s="84" t="str"/>
      <x:c r="R219" s="84" t="str"/>
      <x:c r="S219" s="84" t="str"/>
      <x:c r="T219" s="84" t="str"/>
    </x:row>
    <x:row r="220" ht="44" customHeight="1">
      <x:c r="A220" s="83" t="str">
        <x:v>COL-010</x:v>
      </x:c>
      <x:c r="B220" s="84" t="str">
        <x:v>Collaboration, Notifications, and Approvals</x:v>
      </x:c>
      <x:c r="C220" s="84" t="str">
        <x:v>Meeting support</x:v>
      </x:c>
      <x:c r="D220" s="84" t="str">
        <x:v>Users shall create an agenda from portfolio items, record attendance, decisions, notes, and actions, and link the meeting record to affected demands and projects.</x:v>
      </x:c>
      <x:c r="E220" s="85" t="str">
        <x:v>Must</x:v>
      </x:c>
      <x:c r="F220" s="85" t="str">
        <x:v>3</x:v>
      </x:c>
      <x:c r="G220" s="85" t="str">
        <x:v>Extend</x:v>
      </x:c>
      <x:c r="H220" s="84" t="str">
        <x:v>Collaboration, Notifications, and Approvals</x:v>
      </x:c>
      <x:c r="I220" s="84" t="str">
        <x:v>Portfolio Management Office</x:v>
      </x:c>
      <x:c r="J220" s="85" t="str">
        <x:v>Demonstration</x:v>
      </x:c>
      <x:c r="K220" s="85" t="str">
        <x:v>Proposed</x:v>
      </x:c>
      <x:c r="L220" s="84" t="str"/>
      <x:c r="M220" s="84" t="str"/>
      <x:c r="N220" s="84" t="str"/>
      <x:c r="O220" s="84" t="str"/>
      <x:c r="P220" s="84" t="str"/>
      <x:c r="Q220" s="84" t="str"/>
      <x:c r="R220" s="84" t="str"/>
      <x:c r="S220" s="84" t="str"/>
      <x:c r="T220" s="84" t="str"/>
    </x:row>
    <x:row r="221" ht="44" customHeight="1">
      <x:c r="A221" s="83" t="str">
        <x:v>COL-011</x:v>
      </x:c>
      <x:c r="B221" s="84" t="str">
        <x:v>Collaboration, Notifications, and Approvals</x:v>
      </x:c>
      <x:c r="C221" s="84" t="str">
        <x:v>Notification audit</x:v>
      </x:c>
      <x:c r="D221" s="84" t="str">
        <x:v>The platform shall log material notifications, recipients, delivery status where available, action taken, and associated record while protecting email content from unauthorized viewers.</x:v>
      </x:c>
      <x:c r="E221" s="85" t="str">
        <x:v>Must</x:v>
      </x:c>
      <x:c r="F221" s="85" t="str">
        <x:v>3</x:v>
      </x:c>
      <x:c r="G221" s="85" t="str">
        <x:v>Configure</x:v>
      </x:c>
      <x:c r="H221" s="84" t="str">
        <x:v>Collaboration, Notifications, and Approvals</x:v>
      </x:c>
      <x:c r="I221" s="84" t="str">
        <x:v>Audit Manager</x:v>
      </x:c>
      <x:c r="J221" s="85" t="str">
        <x:v>Demonstration</x:v>
      </x:c>
      <x:c r="K221" s="85" t="str">
        <x:v>Proposed</x:v>
      </x:c>
      <x:c r="L221" s="84" t="str"/>
      <x:c r="M221" s="84" t="str"/>
      <x:c r="N221" s="84" t="str"/>
      <x:c r="O221" s="84" t="str"/>
      <x:c r="P221" s="84" t="str"/>
      <x:c r="Q221" s="84" t="str"/>
      <x:c r="R221" s="84" t="str"/>
      <x:c r="S221" s="84" t="str"/>
      <x:c r="T221" s="84" t="str"/>
    </x:row>
    <x:row r="222" ht="44" customHeight="1">
      <x:c r="A222" s="83" t="str">
        <x:v>COL-012</x:v>
      </x:c>
      <x:c r="B222" s="84" t="str">
        <x:v>Collaboration, Notifications, and Approvals</x:v>
      </x:c>
      <x:c r="C222" s="84" t="str">
        <x:v>Communication preferences</x:v>
      </x:c>
      <x:c r="D222" s="84" t="str">
        <x:v>Users shall manage permitted channel, frequency, digest, quiet-time, and subscription preferences without suppressing mandatory mission or security alerts.</x:v>
      </x:c>
      <x:c r="E222" s="85" t="str">
        <x:v>Must</x:v>
      </x:c>
      <x:c r="F222" s="85" t="str">
        <x:v>2</x:v>
      </x:c>
      <x:c r="G222" s="85" t="str">
        <x:v>Configure</x:v>
      </x:c>
      <x:c r="H222" s="84" t="str">
        <x:v>Collaboration, Notifications, and Approvals</x:v>
      </x:c>
      <x:c r="I222" s="84" t="str">
        <x:v>Product Owner</x:v>
      </x:c>
      <x:c r="J222" s="85" t="str">
        <x:v>Demonstration</x:v>
      </x:c>
      <x:c r="K222" s="85" t="str">
        <x:v>Proposed</x:v>
      </x:c>
      <x:c r="L222" s="84" t="str"/>
      <x:c r="M222" s="84" t="str"/>
      <x:c r="N222" s="84" t="str"/>
      <x:c r="O222" s="84" t="str"/>
      <x:c r="P222" s="84" t="str"/>
      <x:c r="Q222" s="84" t="str"/>
      <x:c r="R222" s="84" t="str"/>
      <x:c r="S222" s="84" t="str"/>
      <x:c r="T222" s="84" t="str"/>
    </x:row>
    <x:row r="223" ht="44" customHeight="1">
      <x:c r="A223" s="83" t="str">
        <x:v>COL-013</x:v>
      </x:c>
      <x:c r="B223" s="84" t="str">
        <x:v>Collaboration, Notifications, and Approvals</x:v>
      </x:c>
      <x:c r="C223" s="84" t="str">
        <x:v>Enterprise record search</x:v>
      </x:c>
      <x:c r="D223" s="84" t="str">
        <x:v>Authorized users shall search across portfolios, programs, projects, core functions, demands, tasks, deliverables, documents, decisions, risks, issues, dependencies, actions, and lessons, with results filtered by access rights and security markings.</x:v>
      </x:c>
      <x:c r="E223" s="85" t="str">
        <x:v>Must</x:v>
      </x:c>
      <x:c r="F223" s="85" t="str">
        <x:v>2</x:v>
      </x:c>
      <x:c r="G223" s="85" t="str">
        <x:v>Extend</x:v>
      </x:c>
      <x:c r="H223" s="84" t="str">
        <x:v>Collaboration, Notifications, and Approvals</x:v>
      </x:c>
      <x:c r="I223" s="84" t="str">
        <x:v>Knowledge Manager</x:v>
      </x:c>
      <x:c r="J223" s="85" t="str">
        <x:v>Demonstration</x:v>
      </x:c>
      <x:c r="K223" s="85" t="str">
        <x:v>Proposed</x:v>
      </x:c>
      <x:c r="L223" s="84" t="str"/>
      <x:c r="M223" s="84" t="str"/>
      <x:c r="N223" s="84" t="str"/>
      <x:c r="O223" s="84" t="str"/>
      <x:c r="P223" s="84" t="str"/>
      <x:c r="Q223" s="84" t="str"/>
      <x:c r="R223" s="84" t="str"/>
      <x:c r="S223" s="84" t="str"/>
      <x:c r="T223" s="84" t="str"/>
    </x:row>
    <x:row r="224" ht="44" customHeight="1">
      <x:c r="A224" s="83" t="str">
        <x:v>DAT-001</x:v>
      </x:c>
      <x:c r="B224" s="84" t="str">
        <x:v>Data, Excel, APIs, and Enterprise Integration</x:v>
      </x:c>
      <x:c r="C224" s="84" t="str">
        <x:v>Canonical identifiers</x:v>
      </x:c>
      <x:c r="D224" s="84" t="str">
        <x:v>The platform shall assign stable unique identifiers to strategies, functions, demands, projects, milestones, resources, skills, costs, benefits, decisions, risks, and external stakeholders.</x:v>
      </x:c>
      <x:c r="E224" s="85" t="str">
        <x:v>Must</x:v>
      </x:c>
      <x:c r="F224" s="85" t="str">
        <x:v>1</x:v>
      </x:c>
      <x:c r="G224" s="85" t="str">
        <x:v>Configure</x:v>
      </x:c>
      <x:c r="H224" s="84" t="str">
        <x:v>Data, Excel, APIs, and Enterprise Integration</x:v>
      </x:c>
      <x:c r="I224" s="84" t="str">
        <x:v>Data Steward</x:v>
      </x:c>
      <x:c r="J224" s="85" t="str">
        <x:v>Demonstration</x:v>
      </x:c>
      <x:c r="K224" s="85" t="str">
        <x:v>Proposed</x:v>
      </x:c>
      <x:c r="L224" s="84" t="str"/>
      <x:c r="M224" s="84" t="str"/>
      <x:c r="N224" s="84" t="str"/>
      <x:c r="O224" s="84" t="str"/>
      <x:c r="P224" s="84" t="str"/>
      <x:c r="Q224" s="84" t="str"/>
      <x:c r="R224" s="84" t="str"/>
      <x:c r="S224" s="84" t="str"/>
      <x:c r="T224" s="84" t="str"/>
    </x:row>
    <x:row r="225" ht="44" customHeight="1">
      <x:c r="A225" s="83" t="str">
        <x:v>DAT-002</x:v>
      </x:c>
      <x:c r="B225" s="84" t="str">
        <x:v>Data, Excel, APIs, and Enterprise Integration</x:v>
      </x:c>
      <x:c r="C225" s="84" t="str">
        <x:v>Canonical data model</x:v>
      </x:c>
      <x:c r="D225" s="84" t="str">
        <x:v>The solution shall use a documented canonical data model and relationship model spanning strategy-to-execution, resource, financial, stakeholder, risk, and benefit entities.</x:v>
      </x:c>
      <x:c r="E225" s="85" t="str">
        <x:v>Must</x:v>
      </x:c>
      <x:c r="F225" s="85" t="str">
        <x:v>1</x:v>
      </x:c>
      <x:c r="G225" s="85" t="str">
        <x:v>Configure</x:v>
      </x:c>
      <x:c r="H225" s="84" t="str">
        <x:v>Data, Excel, APIs, and Enterprise Integration</x:v>
      </x:c>
      <x:c r="I225" s="84" t="str">
        <x:v>Solution Architect</x:v>
      </x:c>
      <x:c r="J225" s="85" t="str">
        <x:v>Design inspection</x:v>
      </x:c>
      <x:c r="K225" s="85" t="str">
        <x:v>Proposed</x:v>
      </x:c>
      <x:c r="L225" s="84" t="str"/>
      <x:c r="M225" s="84" t="str"/>
      <x:c r="N225" s="84" t="str"/>
      <x:c r="O225" s="84" t="str"/>
      <x:c r="P225" s="84" t="str"/>
      <x:c r="Q225" s="84" t="str"/>
      <x:c r="R225" s="84" t="str"/>
      <x:c r="S225" s="84" t="str"/>
      <x:c r="T225" s="84" t="str"/>
    </x:row>
    <x:row r="226" ht="44" customHeight="1">
      <x:c r="A226" s="83" t="str">
        <x:v>DAT-003</x:v>
      </x:c>
      <x:c r="B226" s="84" t="str">
        <x:v>Data, Excel, APIs, and Enterprise Integration</x:v>
      </x:c>
      <x:c r="C226" s="84" t="str">
        <x:v>Authoritative-source mapping</x:v>
      </x:c>
      <x:c r="D226" s="84" t="str">
        <x:v>Each integrated data element shall identify its authoritative source, system of entry, synchronization direction, frequency, transformation, steward, and conflict rule.</x:v>
      </x:c>
      <x:c r="E226" s="85" t="str">
        <x:v>Must</x:v>
      </x:c>
      <x:c r="F226" s="85" t="str">
        <x:v>3</x:v>
      </x:c>
      <x:c r="G226" s="85" t="str">
        <x:v>Configure</x:v>
      </x:c>
      <x:c r="H226" s="84" t="str">
        <x:v>Data, Excel, APIs, and Enterprise Integration</x:v>
      </x:c>
      <x:c r="I226" s="84" t="str">
        <x:v>Data Steward</x:v>
      </x:c>
      <x:c r="J226" s="85" t="str">
        <x:v>Demonstration</x:v>
      </x:c>
      <x:c r="K226" s="85" t="str">
        <x:v>Proposed</x:v>
      </x:c>
      <x:c r="L226" s="84" t="str"/>
      <x:c r="M226" s="84" t="str"/>
      <x:c r="N226" s="84" t="str"/>
      <x:c r="O226" s="84" t="str"/>
      <x:c r="P226" s="84" t="str"/>
      <x:c r="Q226" s="84" t="str"/>
      <x:c r="R226" s="84" t="str"/>
      <x:c r="S226" s="84" t="str"/>
      <x:c r="T226" s="84" t="str"/>
    </x:row>
    <x:row r="227" ht="44" customHeight="1">
      <x:c r="A227" s="83" t="str">
        <x:v>DAT-004</x:v>
      </x:c>
      <x:c r="B227" s="84" t="str">
        <x:v>Data, Excel, APIs, and Enterprise Integration</x:v>
      </x:c>
      <x:c r="C227" s="84" t="str">
        <x:v>Excel import templates</x:v>
      </x:c>
      <x:c r="D227" s="84" t="str">
        <x:v>The platform shall provide versioned Excel templates for demands, projects, tasks, resources, skills, budgets, actuals, benefits, risks, and reference data with instructions and valid-value lists.</x:v>
      </x:c>
      <x:c r="E227" s="85" t="str">
        <x:v>Must</x:v>
      </x:c>
      <x:c r="F227" s="85" t="str">
        <x:v>1</x:v>
      </x:c>
      <x:c r="G227" s="85" t="str">
        <x:v>Integrate</x:v>
      </x:c>
      <x:c r="H227" s="84" t="str">
        <x:v>Data, Excel, APIs, and Enterprise Integration</x:v>
      </x:c>
      <x:c r="I227" s="84" t="str">
        <x:v>Data Manager</x:v>
      </x:c>
      <x:c r="J227" s="85" t="str">
        <x:v>Demonstration</x:v>
      </x:c>
      <x:c r="K227" s="85" t="str">
        <x:v>Proposed</x:v>
      </x:c>
      <x:c r="L227" s="84" t="str"/>
      <x:c r="M227" s="84" t="str"/>
      <x:c r="N227" s="84" t="str"/>
      <x:c r="O227" s="84" t="str"/>
      <x:c r="P227" s="84" t="str"/>
      <x:c r="Q227" s="84" t="str"/>
      <x:c r="R227" s="84" t="str"/>
      <x:c r="S227" s="84" t="str"/>
      <x:c r="T227" s="84" t="str"/>
    </x:row>
    <x:row r="228" ht="44" customHeight="1">
      <x:c r="A228" s="83" t="str">
        <x:v>DAT-005</x:v>
      </x:c>
      <x:c r="B228" s="84" t="str">
        <x:v>Data, Excel, APIs, and Enterprise Integration</x:v>
      </x:c>
      <x:c r="C228" s="84" t="str">
        <x:v>Excel validation preview</x:v>
      </x:c>
      <x:c r="D228" s="84" t="str">
        <x:v>Before committing an import, users shall receive a preview showing creates, updates, duplicates, warnings, errors, and records excluded by permissions.</x:v>
      </x:c>
      <x:c r="E228" s="85" t="str">
        <x:v>Must</x:v>
      </x:c>
      <x:c r="F228" s="85" t="str">
        <x:v>1</x:v>
      </x:c>
      <x:c r="G228" s="85" t="str">
        <x:v>Integrate</x:v>
      </x:c>
      <x:c r="H228" s="84" t="str">
        <x:v>Data, Excel, APIs, and Enterprise Integration</x:v>
      </x:c>
      <x:c r="I228" s="84" t="str">
        <x:v>Data Manager</x:v>
      </x:c>
      <x:c r="J228" s="85" t="str">
        <x:v>Demonstration</x:v>
      </x:c>
      <x:c r="K228" s="85" t="str">
        <x:v>Proposed</x:v>
      </x:c>
      <x:c r="L228" s="84" t="str"/>
      <x:c r="M228" s="84" t="str"/>
      <x:c r="N228" s="84" t="str"/>
      <x:c r="O228" s="84" t="str"/>
      <x:c r="P228" s="84" t="str"/>
      <x:c r="Q228" s="84" t="str"/>
      <x:c r="R228" s="84" t="str"/>
      <x:c r="S228" s="84" t="str"/>
      <x:c r="T228" s="84" t="str"/>
    </x:row>
    <x:row r="229" ht="44" customHeight="1">
      <x:c r="A229" s="83" t="str">
        <x:v>DAT-006</x:v>
      </x:c>
      <x:c r="B229" s="84" t="str">
        <x:v>Data, Excel, APIs, and Enterprise Integration</x:v>
      </x:c>
      <x:c r="C229" s="84" t="str">
        <x:v>Excel row-level results</x:v>
      </x:c>
      <x:c r="D229" s="84" t="str">
        <x:v>After import, users shall receive row-level results with record identifiers, actions taken, validation messages, and a downloadable correction file.</x:v>
      </x:c>
      <x:c r="E229" s="85" t="str">
        <x:v>Must</x:v>
      </x:c>
      <x:c r="F229" s="85" t="str">
        <x:v>1</x:v>
      </x:c>
      <x:c r="G229" s="85" t="str">
        <x:v>Integrate</x:v>
      </x:c>
      <x:c r="H229" s="84" t="str">
        <x:v>Data, Excel, APIs, and Enterprise Integration</x:v>
      </x:c>
      <x:c r="I229" s="84" t="str">
        <x:v>Data Manager</x:v>
      </x:c>
      <x:c r="J229" s="85" t="str">
        <x:v>Demonstration</x:v>
      </x:c>
      <x:c r="K229" s="85" t="str">
        <x:v>Proposed</x:v>
      </x:c>
      <x:c r="L229" s="84" t="str"/>
      <x:c r="M229" s="84" t="str"/>
      <x:c r="N229" s="84" t="str"/>
      <x:c r="O229" s="84" t="str"/>
      <x:c r="P229" s="84" t="str"/>
      <x:c r="Q229" s="84" t="str"/>
      <x:c r="R229" s="84" t="str"/>
      <x:c r="S229" s="84" t="str"/>
      <x:c r="T229" s="84" t="str"/>
    </x:row>
    <x:row r="230" ht="44" customHeight="1">
      <x:c r="A230" s="83" t="str">
        <x:v>DAT-007</x:v>
      </x:c>
      <x:c r="B230" s="84" t="str">
        <x:v>Data, Excel, APIs, and Enterprise Integration</x:v>
      </x:c>
      <x:c r="C230" s="84" t="str">
        <x:v>Excel export</x:v>
      </x:c>
      <x:c r="D230" s="84" t="str">
        <x:v>Authorized users shall export filtered data and governed report templates to XLSX or CSV while preserving types, identifiers, timestamps, units, and applied security rules.</x:v>
      </x:c>
      <x:c r="E230" s="85" t="str">
        <x:v>Must</x:v>
      </x:c>
      <x:c r="F230" s="85" t="str">
        <x:v>1</x:v>
      </x:c>
      <x:c r="G230" s="85" t="str">
        <x:v>Likely OOTB</x:v>
      </x:c>
      <x:c r="H230" s="84" t="str">
        <x:v>Data, Excel, APIs, and Enterprise Integration</x:v>
      </x:c>
      <x:c r="I230" s="84" t="str">
        <x:v>Data Manager</x:v>
      </x:c>
      <x:c r="J230" s="85" t="str">
        <x:v>Demonstration</x:v>
      </x:c>
      <x:c r="K230" s="85" t="str">
        <x:v>Proposed</x:v>
      </x:c>
      <x:c r="L230" s="84" t="str"/>
      <x:c r="M230" s="84" t="str"/>
      <x:c r="N230" s="84" t="str"/>
      <x:c r="O230" s="84" t="str"/>
      <x:c r="P230" s="84" t="str"/>
      <x:c r="Q230" s="84" t="str"/>
      <x:c r="R230" s="84" t="str"/>
      <x:c r="S230" s="84" t="str"/>
      <x:c r="T230" s="84" t="str"/>
    </x:row>
    <x:row r="231" ht="44" customHeight="1">
      <x:c r="A231" s="83" t="str">
        <x:v>DAT-008</x:v>
      </x:c>
      <x:c r="B231" s="84" t="str">
        <x:v>Data, Excel, APIs, and Enterprise Integration</x:v>
      </x:c>
      <x:c r="C231" s="84" t="str">
        <x:v>Round-trip control</x:v>
      </x:c>
      <x:c r="D231" s="84" t="str">
        <x:v>Excel exports intended for re-import shall carry template version, immutable record identifier, concurrency token or last-updated timestamp, and validation metadata to prevent blind overwrite.</x:v>
      </x:c>
      <x:c r="E231" s="85" t="str">
        <x:v>Must</x:v>
      </x:c>
      <x:c r="F231" s="85" t="str">
        <x:v>2</x:v>
      </x:c>
      <x:c r="G231" s="85" t="str">
        <x:v>Extend</x:v>
      </x:c>
      <x:c r="H231" s="84" t="str">
        <x:v>Data, Excel, APIs, and Enterprise Integration</x:v>
      </x:c>
      <x:c r="I231" s="84" t="str">
        <x:v>Data Manager</x:v>
      </x:c>
      <x:c r="J231" s="85" t="str">
        <x:v>Demonstration</x:v>
      </x:c>
      <x:c r="K231" s="85" t="str">
        <x:v>Proposed</x:v>
      </x:c>
      <x:c r="L231" s="84" t="str"/>
      <x:c r="M231" s="84" t="str"/>
      <x:c r="N231" s="84" t="str"/>
      <x:c r="O231" s="84" t="str"/>
      <x:c r="P231" s="84" t="str"/>
      <x:c r="Q231" s="84" t="str"/>
      <x:c r="R231" s="84" t="str"/>
      <x:c r="S231" s="84" t="str"/>
      <x:c r="T231" s="84" t="str"/>
    </x:row>
    <x:row r="232" ht="44" customHeight="1">
      <x:c r="A232" s="83" t="str">
        <x:v>DAT-009</x:v>
      </x:c>
      <x:c r="B232" s="84" t="str">
        <x:v>Data, Excel, APIs, and Enterprise Integration</x:v>
      </x:c>
      <x:c r="C232" s="84" t="str">
        <x:v>API-first integration</x:v>
      </x:c>
      <x:c r="D232" s="84" t="str">
        <x:v>The platform shall expose documented, secured, versioned APIs or approved integration services for core records and events required by ProjectOS and enterprise systems.</x:v>
      </x:c>
      <x:c r="E232" s="85" t="str">
        <x:v>Must</x:v>
      </x:c>
      <x:c r="F232" s="85" t="str">
        <x:v>2</x:v>
      </x:c>
      <x:c r="G232" s="85" t="str">
        <x:v>Configure</x:v>
      </x:c>
      <x:c r="H232" s="84" t="str">
        <x:v>Data, Excel, APIs, and Enterprise Integration</x:v>
      </x:c>
      <x:c r="I232" s="84" t="str">
        <x:v>Integration Owner</x:v>
      </x:c>
      <x:c r="J232" s="85" t="str">
        <x:v>API test</x:v>
      </x:c>
      <x:c r="K232" s="85" t="str">
        <x:v>Proposed</x:v>
      </x:c>
      <x:c r="L232" s="84" t="str"/>
      <x:c r="M232" s="84" t="str"/>
      <x:c r="N232" s="84" t="str"/>
      <x:c r="O232" s="84" t="str"/>
      <x:c r="P232" s="84" t="str"/>
      <x:c r="Q232" s="84" t="str"/>
      <x:c r="R232" s="84" t="str"/>
      <x:c r="S232" s="84" t="str"/>
      <x:c r="T232" s="84" t="str"/>
    </x:row>
    <x:row r="233" ht="44" customHeight="1">
      <x:c r="A233" s="83" t="str">
        <x:v>DAT-010</x:v>
      </x:c>
      <x:c r="B233" s="84" t="str">
        <x:v>Data, Excel, APIs, and Enterprise Integration</x:v>
      </x:c>
      <x:c r="C233" s="84" t="str">
        <x:v>ProjectOS synchronization</x:v>
      </x:c>
      <x:c r="D233" s="84" t="str">
        <x:v>The integration shall define field ownership, create and update triggers, synchronization frequency, conflict resolution, retry behavior, reconciliation reports, and deletion or archive semantics.</x:v>
      </x:c>
      <x:c r="E233" s="85" t="str">
        <x:v>Must</x:v>
      </x:c>
      <x:c r="F233" s="85" t="str">
        <x:v>2</x:v>
      </x:c>
      <x:c r="G233" s="85" t="str">
        <x:v>Integrate</x:v>
      </x:c>
      <x:c r="H233" s="84" t="str">
        <x:v>Data, Excel, APIs, and Enterprise Integration</x:v>
      </x:c>
      <x:c r="I233" s="84" t="str">
        <x:v>Integration Owner</x:v>
      </x:c>
      <x:c r="J233" s="85" t="str">
        <x:v>Demonstration</x:v>
      </x:c>
      <x:c r="K233" s="85" t="str">
        <x:v>Proposed</x:v>
      </x:c>
      <x:c r="L233" s="84" t="str"/>
      <x:c r="M233" s="84" t="str"/>
      <x:c r="N233" s="84" t="str"/>
      <x:c r="O233" s="84" t="str"/>
      <x:c r="P233" s="84" t="str"/>
      <x:c r="Q233" s="84" t="str"/>
      <x:c r="R233" s="84" t="str"/>
      <x:c r="S233" s="84" t="str"/>
      <x:c r="T233" s="84" t="str"/>
    </x:row>
    <x:row r="234" ht="44" customHeight="1">
      <x:c r="A234" s="83" t="str">
        <x:v>DAT-011</x:v>
      </x:c>
      <x:c r="B234" s="84" t="str">
        <x:v>Data, Excel, APIs, and Enterprise Integration</x:v>
      </x:c>
      <x:c r="C234" s="84" t="str">
        <x:v>Identity integration</x:v>
      </x:c>
      <x:c r="D234" s="84" t="str">
        <x:v>The platform shall integrate with the approved enterprise identity provider for authentication, organizational attributes, group membership, and lifecycle events.</x:v>
      </x:c>
      <x:c r="E234" s="85" t="str">
        <x:v>Must</x:v>
      </x:c>
      <x:c r="F234" s="85" t="str">
        <x:v>1</x:v>
      </x:c>
      <x:c r="G234" s="85" t="str">
        <x:v>Integrate</x:v>
      </x:c>
      <x:c r="H234" s="84" t="str">
        <x:v>Data, Excel, APIs, and Enterprise Integration</x:v>
      </x:c>
      <x:c r="I234" s="84" t="str">
        <x:v>Identity Manager</x:v>
      </x:c>
      <x:c r="J234" s="85" t="str">
        <x:v>Demonstration</x:v>
      </x:c>
      <x:c r="K234" s="85" t="str">
        <x:v>Proposed</x:v>
      </x:c>
      <x:c r="L234" s="84" t="str"/>
      <x:c r="M234" s="84" t="str"/>
      <x:c r="N234" s="84" t="str"/>
      <x:c r="O234" s="84" t="str"/>
      <x:c r="P234" s="84" t="str"/>
      <x:c r="Q234" s="84" t="str"/>
      <x:c r="R234" s="84" t="str"/>
      <x:c r="S234" s="84" t="str"/>
      <x:c r="T234" s="84" t="str"/>
    </x:row>
    <x:row r="235" ht="44" customHeight="1">
      <x:c r="A235" s="83" t="str">
        <x:v>DAT-012</x:v>
      </x:c>
      <x:c r="B235" s="84" t="str">
        <x:v>Data, Excel, APIs, and Enterprise Integration</x:v>
      </x:c>
      <x:c r="C235" s="84" t="str">
        <x:v>Financial integration</x:v>
      </x:c>
      <x:c r="D235" s="84" t="str">
        <x:v>The platform shall import or integrate authorized budget and actual data from designated financial sources using controlled mappings and reconciliation.</x:v>
      </x:c>
      <x:c r="E235" s="85" t="str">
        <x:v>Must</x:v>
      </x:c>
      <x:c r="F235" s="85" t="str">
        <x:v>4</x:v>
      </x:c>
      <x:c r="G235" s="85" t="str">
        <x:v>Integrate</x:v>
      </x:c>
      <x:c r="H235" s="84" t="str">
        <x:v>Data, Excel, APIs, and Enterprise Integration</x:v>
      </x:c>
      <x:c r="I235" s="84" t="str">
        <x:v>Financial Manager</x:v>
      </x:c>
      <x:c r="J235" s="85" t="str">
        <x:v>Demonstration</x:v>
      </x:c>
      <x:c r="K235" s="85" t="str">
        <x:v>Proposed</x:v>
      </x:c>
      <x:c r="L235" s="84" t="str"/>
      <x:c r="M235" s="84" t="str"/>
      <x:c r="N235" s="84" t="str"/>
      <x:c r="O235" s="84" t="str"/>
      <x:c r="P235" s="84" t="str"/>
      <x:c r="Q235" s="84" t="str"/>
      <x:c r="R235" s="84" t="str"/>
      <x:c r="S235" s="84" t="str"/>
      <x:c r="T235" s="84" t="str"/>
    </x:row>
    <x:row r="236" ht="44" customHeight="1">
      <x:c r="A236" s="83" t="str">
        <x:v>DAT-013</x:v>
      </x:c>
      <x:c r="B236" s="84" t="str">
        <x:v>Data, Excel, APIs, and Enterprise Integration</x:v>
      </x:c>
      <x:c r="C236" s="84" t="str">
        <x:v>Workforce integration</x:v>
      </x:c>
      <x:c r="D236" s="84" t="str">
        <x:v>The platform shall import or integrate authorized position, organization, skill, availability, or workforce attributes from designated sources subject to privacy controls.</x:v>
      </x:c>
      <x:c r="E236" s="85" t="str">
        <x:v>Must</x:v>
      </x:c>
      <x:c r="F236" s="85" t="str">
        <x:v>4</x:v>
      </x:c>
      <x:c r="G236" s="85" t="str">
        <x:v>Integrate</x:v>
      </x:c>
      <x:c r="H236" s="84" t="str">
        <x:v>Data, Excel, APIs, and Enterprise Integration</x:v>
      </x:c>
      <x:c r="I236" s="84" t="str">
        <x:v>Workforce Manager</x:v>
      </x:c>
      <x:c r="J236" s="85" t="str">
        <x:v>Demonstration</x:v>
      </x:c>
      <x:c r="K236" s="85" t="str">
        <x:v>Proposed</x:v>
      </x:c>
      <x:c r="L236" s="84" t="str"/>
      <x:c r="M236" s="84" t="str"/>
      <x:c r="N236" s="84" t="str"/>
      <x:c r="O236" s="84" t="str"/>
      <x:c r="P236" s="84" t="str"/>
      <x:c r="Q236" s="84" t="str"/>
      <x:c r="R236" s="84" t="str"/>
      <x:c r="S236" s="84" t="str"/>
      <x:c r="T236" s="84" t="str"/>
    </x:row>
    <x:row r="237" ht="44" customHeight="1">
      <x:c r="A237" s="83" t="str">
        <x:v>DAT-014</x:v>
      </x:c>
      <x:c r="B237" s="84" t="str">
        <x:v>Data, Excel, APIs, and Enterprise Integration</x:v>
      </x:c>
      <x:c r="C237" s="84" t="str">
        <x:v>Business intelligence integration</x:v>
      </x:c>
      <x:c r="D237" s="84" t="str">
        <x:v>Governed portfolio data shall be available to approved enterprise analytics tools through secured APIs, extracts, or direct connectors without creating an unmanaged competing system of record.</x:v>
      </x:c>
      <x:c r="E237" s="85" t="str">
        <x:v>Must</x:v>
      </x:c>
      <x:c r="F237" s="85" t="str">
        <x:v>3</x:v>
      </x:c>
      <x:c r="G237" s="85" t="str">
        <x:v>Integrate</x:v>
      </x:c>
      <x:c r="H237" s="84" t="str">
        <x:v>Data, Excel, APIs, and Enterprise Integration</x:v>
      </x:c>
      <x:c r="I237" s="84" t="str">
        <x:v>Data Steward</x:v>
      </x:c>
      <x:c r="J237" s="85" t="str">
        <x:v>Demonstration</x:v>
      </x:c>
      <x:c r="K237" s="85" t="str">
        <x:v>Proposed</x:v>
      </x:c>
      <x:c r="L237" s="84" t="str"/>
      <x:c r="M237" s="84" t="str"/>
      <x:c r="N237" s="84" t="str"/>
      <x:c r="O237" s="84" t="str"/>
      <x:c r="P237" s="84" t="str"/>
      <x:c r="Q237" s="84" t="str"/>
      <x:c r="R237" s="84" t="str"/>
      <x:c r="S237" s="84" t="str"/>
      <x:c r="T237" s="84" t="str"/>
    </x:row>
    <x:row r="238" ht="44" customHeight="1">
      <x:c r="A238" s="83" t="str">
        <x:v>DAT-015</x:v>
      </x:c>
      <x:c r="B238" s="84" t="str">
        <x:v>Data, Excel, APIs, and Enterprise Integration</x:v>
      </x:c>
      <x:c r="C238" s="84" t="str">
        <x:v>Event integration</x:v>
      </x:c>
      <x:c r="D238" s="84" t="str">
        <x:v>The platform shall publish or consume approved business events such as demand submitted, approval completed, project health changed, milestone slipped, resource gap detected, and budget threshold exceeded.</x:v>
      </x:c>
      <x:c r="E238" s="85" t="str">
        <x:v>Must</x:v>
      </x:c>
      <x:c r="F238" s="85" t="str">
        <x:v>4</x:v>
      </x:c>
      <x:c r="G238" s="85" t="str">
        <x:v>Integrate</x:v>
      </x:c>
      <x:c r="H238" s="84" t="str">
        <x:v>Data, Excel, APIs, and Enterprise Integration</x:v>
      </x:c>
      <x:c r="I238" s="84" t="str">
        <x:v>Integration Owner</x:v>
      </x:c>
      <x:c r="J238" s="85" t="str">
        <x:v>Demonstration</x:v>
      </x:c>
      <x:c r="K238" s="85" t="str">
        <x:v>Proposed</x:v>
      </x:c>
      <x:c r="L238" s="84" t="str"/>
      <x:c r="M238" s="84" t="str"/>
      <x:c r="N238" s="84" t="str"/>
      <x:c r="O238" s="84" t="str"/>
      <x:c r="P238" s="84" t="str"/>
      <x:c r="Q238" s="84" t="str"/>
      <x:c r="R238" s="84" t="str"/>
      <x:c r="S238" s="84" t="str"/>
      <x:c r="T238" s="84" t="str"/>
    </x:row>
    <x:row r="239" ht="44" customHeight="1">
      <x:c r="A239" s="83" t="str">
        <x:v>DAT-016</x:v>
      </x:c>
      <x:c r="B239" s="84" t="str">
        <x:v>Data, Excel, APIs, and Enterprise Integration</x:v>
      </x:c>
      <x:c r="C239" s="84" t="str">
        <x:v>Integration monitoring</x:v>
      </x:c>
      <x:c r="D239" s="84" t="str">
        <x:v>Administrators shall monitor interface health, latency, failed records, retry status, data drift, and reconciliation results and shall receive alerts when thresholds are exceeded.</x:v>
      </x:c>
      <x:c r="E239" s="85" t="str">
        <x:v>Must</x:v>
      </x:c>
      <x:c r="F239" s="85" t="str">
        <x:v>3</x:v>
      </x:c>
      <x:c r="G239" s="85" t="str">
        <x:v>Configure</x:v>
      </x:c>
      <x:c r="H239" s="84" t="str">
        <x:v>Data, Excel, APIs, and Enterprise Integration</x:v>
      </x:c>
      <x:c r="I239" s="84" t="str">
        <x:v>Integration Owner</x:v>
      </x:c>
      <x:c r="J239" s="85" t="str">
        <x:v>Demonstration</x:v>
      </x:c>
      <x:c r="K239" s="85" t="str">
        <x:v>Proposed</x:v>
      </x:c>
      <x:c r="L239" s="84" t="str"/>
      <x:c r="M239" s="84" t="str"/>
      <x:c r="N239" s="84" t="str"/>
      <x:c r="O239" s="84" t="str"/>
      <x:c r="P239" s="84" t="str"/>
      <x:c r="Q239" s="84" t="str"/>
      <x:c r="R239" s="84" t="str"/>
      <x:c r="S239" s="84" t="str"/>
      <x:c r="T239" s="84" t="str"/>
    </x:row>
    <x:row r="240" ht="44" customHeight="1">
      <x:c r="A240" s="83" t="str">
        <x:v>DAT-017</x:v>
      </x:c>
      <x:c r="B240" s="84" t="str">
        <x:v>Data, Excel, APIs, and Enterprise Integration</x:v>
      </x:c>
      <x:c r="C240" s="84" t="str">
        <x:v>Data lineage</x:v>
      </x:c>
      <x:c r="D240" s="84" t="str">
        <x:v>Users with appropriate rights shall trace dashboard metrics and forecasts to source records, transformations, calculation versions, and refresh timestamps.</x:v>
      </x:c>
      <x:c r="E240" s="85" t="str">
        <x:v>Must</x:v>
      </x:c>
      <x:c r="F240" s="85" t="str">
        <x:v>3</x:v>
      </x:c>
      <x:c r="G240" s="85" t="str">
        <x:v>Configure</x:v>
      </x:c>
      <x:c r="H240" s="84" t="str">
        <x:v>Data, Excel, APIs, and Enterprise Integration</x:v>
      </x:c>
      <x:c r="I240" s="84" t="str">
        <x:v>Data Steward</x:v>
      </x:c>
      <x:c r="J240" s="85" t="str">
        <x:v>Demonstration</x:v>
      </x:c>
      <x:c r="K240" s="85" t="str">
        <x:v>Proposed</x:v>
      </x:c>
      <x:c r="L240" s="84" t="str"/>
      <x:c r="M240" s="84" t="str"/>
      <x:c r="N240" s="84" t="str"/>
      <x:c r="O240" s="84" t="str"/>
      <x:c r="P240" s="84" t="str"/>
      <x:c r="Q240" s="84" t="str"/>
      <x:c r="R240" s="84" t="str"/>
      <x:c r="S240" s="84" t="str"/>
      <x:c r="T240" s="84" t="str"/>
    </x:row>
    <x:row r="241" ht="44" customHeight="1">
      <x:c r="A241" s="83" t="str">
        <x:v>DAT-018</x:v>
      </x:c>
      <x:c r="B241" s="84" t="str">
        <x:v>Data, Excel, APIs, and Enterprise Integration</x:v>
      </x:c>
      <x:c r="C241" s="84" t="str">
        <x:v>Migration staging</x:v>
      </x:c>
      <x:c r="D241" s="84" t="str">
        <x:v>Legacy or spreadsheet data shall be profiled, cleansed, mapped, deduplicated, validated, and approved in a staging area before production migration.</x:v>
      </x:c>
      <x:c r="E241" s="85" t="str">
        <x:v>Must</x:v>
      </x:c>
      <x:c r="F241" s="85" t="str">
        <x:v>1</x:v>
      </x:c>
      <x:c r="G241" s="85" t="str">
        <x:v>Configure</x:v>
      </x:c>
      <x:c r="H241" s="84" t="str">
        <x:v>Data, Excel, APIs, and Enterprise Integration</x:v>
      </x:c>
      <x:c r="I241" s="84" t="str">
        <x:v>Migration Lead</x:v>
      </x:c>
      <x:c r="J241" s="85" t="str">
        <x:v>Demonstration</x:v>
      </x:c>
      <x:c r="K241" s="85" t="str">
        <x:v>Proposed</x:v>
      </x:c>
      <x:c r="L241" s="84" t="str"/>
      <x:c r="M241" s="84" t="str"/>
      <x:c r="N241" s="84" t="str"/>
      <x:c r="O241" s="84" t="str"/>
      <x:c r="P241" s="84" t="str"/>
      <x:c r="Q241" s="84" t="str"/>
      <x:c r="R241" s="84" t="str"/>
      <x:c r="S241" s="84" t="str"/>
      <x:c r="T241" s="84" t="str"/>
    </x:row>
    <x:row r="242" ht="44" customHeight="1">
      <x:c r="A242" s="83" t="str">
        <x:v>DAT-019</x:v>
      </x:c>
      <x:c r="B242" s="84" t="str">
        <x:v>Data, Excel, APIs, and Enterprise Integration</x:v>
      </x:c>
      <x:c r="C242" s="84" t="str">
        <x:v>Integration failure recovery</x:v>
      </x:c>
      <x:c r="D242" s="84" t="str">
        <x:v>Failed integrations shall be quarantined, diagnosed, retried or replayed safely, reconciled to the authoritative source, and closed with evidence without creating duplicate or partially applied business records.</x:v>
      </x:c>
      <x:c r="E242" s="85" t="str">
        <x:v>Must</x:v>
      </x:c>
      <x:c r="F242" s="85" t="str">
        <x:v>3</x:v>
      </x:c>
      <x:c r="G242" s="85" t="str">
        <x:v>Integrate</x:v>
      </x:c>
      <x:c r="H242" s="84" t="str">
        <x:v>Data, Excel, APIs, and Enterprise Integration</x:v>
      </x:c>
      <x:c r="I242" s="84" t="str">
        <x:v>Integration Owner</x:v>
      </x:c>
      <x:c r="J242" s="85" t="str">
        <x:v>Resilience test</x:v>
      </x:c>
      <x:c r="K242" s="85" t="str">
        <x:v>Proposed</x:v>
      </x:c>
      <x:c r="L242" s="84" t="str"/>
      <x:c r="M242" s="84" t="str"/>
      <x:c r="N242" s="84" t="str"/>
      <x:c r="O242" s="84" t="str"/>
      <x:c r="P242" s="84" t="str"/>
      <x:c r="Q242" s="84" t="str"/>
      <x:c r="R242" s="84" t="str"/>
      <x:c r="S242" s="84" t="str"/>
      <x:c r="T242" s="84" t="str"/>
    </x:row>
    <x:row r="243" ht="44" customHeight="1">
      <x:c r="A243" s="83" t="str">
        <x:v>DAT-020</x:v>
      </x:c>
      <x:c r="B243" s="84" t="str">
        <x:v>Data, Excel, APIs, and Enterprise Integration</x:v>
      </x:c>
      <x:c r="C243" s="84" t="str">
        <x:v>DDC5I mission-data traceability</x:v>
      </x:c>
      <x:c r="D243" s="84" t="str">
        <x:v>Authorized users shall trace portfolio decisions and investments to DDC5I and CJADC2 objectives, mission threads, capabilities, systems, standards, data products, exercises, assessments, deliverables, measures, and realized Joint or coalition operational value.</x:v>
      </x:c>
      <x:c r="E243" s="85" t="str">
        <x:v>Must</x:v>
      </x:c>
      <x:c r="F243" s="85" t="str">
        <x:v>3</x:v>
      </x:c>
      <x:c r="G243" s="85" t="str">
        <x:v>Extend</x:v>
      </x:c>
      <x:c r="H243" s="84" t="str">
        <x:v>Data, Excel, APIs, and Enterprise Integration</x:v>
      </x:c>
      <x:c r="I243" s="84" t="str">
        <x:v>Data Steward</x:v>
      </x:c>
      <x:c r="J243" s="85" t="str">
        <x:v>Demonstration</x:v>
      </x:c>
      <x:c r="K243" s="85" t="str">
        <x:v>Proposed</x:v>
      </x:c>
      <x:c r="L243" s="84" t="str"/>
      <x:c r="M243" s="84" t="str"/>
      <x:c r="N243" s="84" t="str"/>
      <x:c r="O243" s="84" t="str"/>
      <x:c r="P243" s="84" t="str"/>
      <x:c r="Q243" s="84" t="str"/>
      <x:c r="R243" s="84" t="str"/>
      <x:c r="S243" s="84" t="str"/>
      <x:c r="T243" s="84" t="str"/>
    </x:row>
    <x:row r="244" ht="44" customHeight="1">
      <x:c r="A244" s="83" t="str">
        <x:v>DAT-021</x:v>
      </x:c>
      <x:c r="B244" s="84" t="str">
        <x:v>Data, Excel, APIs, and Enterprise Integration</x:v>
      </x:c>
      <x:c r="C244" s="84" t="str">
        <x:v>Enterprise ecosystem integration</x:v>
      </x:c>
      <x:c r="D244" s="84" t="str">
        <x:v>The platform shall support approved integration patterns for Advana or WDP, SharePoint, Power BI, financial and personnel systems, enterprise data catalogs, and delivery tools such as Jira or Azure DevOps without creating competing authoritative records.</x:v>
      </x:c>
      <x:c r="E244" s="85" t="str">
        <x:v>Must</x:v>
      </x:c>
      <x:c r="F244" s="85" t="str">
        <x:v>4</x:v>
      </x:c>
      <x:c r="G244" s="85" t="str">
        <x:v>Integrate</x:v>
      </x:c>
      <x:c r="H244" s="84" t="str">
        <x:v>Data, Excel, APIs, and Enterprise Integration</x:v>
      </x:c>
      <x:c r="I244" s="84" t="str">
        <x:v>Enterprise Architect</x:v>
      </x:c>
      <x:c r="J244" s="85" t="str">
        <x:v>Demonstration</x:v>
      </x:c>
      <x:c r="K244" s="85" t="str">
        <x:v>Proposed</x:v>
      </x:c>
      <x:c r="L244" s="84" t="str"/>
      <x:c r="M244" s="84" t="str"/>
      <x:c r="N244" s="84" t="str"/>
      <x:c r="O244" s="84" t="str"/>
      <x:c r="P244" s="84" t="str"/>
      <x:c r="Q244" s="84" t="str"/>
      <x:c r="R244" s="84" t="str"/>
      <x:c r="S244" s="84" t="str"/>
      <x:c r="T244" s="84" t="str"/>
    </x:row>
    <x:row r="245" ht="44" customHeight="1">
      <x:c r="A245" s="83" t="str">
        <x:v>SEC-001</x:v>
      </x:c>
      <x:c r="B245" s="84" t="str">
        <x:v>Security, Privacy, Records, and Compliance</x:v>
      </x:c>
      <x:c r="C245" s="84" t="str">
        <x:v>Authorization boundary</x:v>
      </x:c>
      <x:c r="D245" s="84" t="str">
        <x:v>The solution shall be deployed only within an environment whose authorization boundary and impact level are approved for the information it will process.</x:v>
      </x:c>
      <x:c r="E245" s="85" t="str">
        <x:v>Must</x:v>
      </x:c>
      <x:c r="F245" s="85" t="str">
        <x:v>1</x:v>
      </x:c>
      <x:c r="G245" s="85" t="str">
        <x:v>Policy/Process</x:v>
      </x:c>
      <x:c r="H245" s="84" t="str">
        <x:v>Security, Privacy, Records, and Compliance</x:v>
      </x:c>
      <x:c r="I245" s="84" t="str">
        <x:v>Authorizing Official</x:v>
      </x:c>
      <x:c r="J245" s="85" t="str">
        <x:v>Authorization review</x:v>
      </x:c>
      <x:c r="K245" s="85" t="str">
        <x:v>Proposed</x:v>
      </x:c>
      <x:c r="L245" s="84" t="str"/>
      <x:c r="M245" s="84" t="str"/>
      <x:c r="N245" s="84" t="str"/>
      <x:c r="O245" s="84" t="str"/>
      <x:c r="P245" s="84" t="str"/>
      <x:c r="Q245" s="84" t="str"/>
      <x:c r="R245" s="84" t="str"/>
      <x:c r="S245" s="84" t="str"/>
      <x:c r="T245" s="84" t="str"/>
    </x:row>
    <x:row r="246" ht="44" customHeight="1">
      <x:c r="A246" s="83" t="str">
        <x:v>SEC-002</x:v>
      </x:c>
      <x:c r="B246" s="84" t="str">
        <x:v>Security, Privacy, Records, and Compliance</x:v>
      </x:c>
      <x:c r="C246" s="84" t="str">
        <x:v>CAC or PIV authentication</x:v>
      </x:c>
      <x:c r="D246" s="84" t="str">
        <x:v>The platform shall support the approved enterprise single sign-on mechanism, including CAC or PIV authentication where required, and shall not create unmanaged local accounts except controlled break-glass accounts.</x:v>
      </x:c>
      <x:c r="E246" s="85" t="str">
        <x:v>Must</x:v>
      </x:c>
      <x:c r="F246" s="85" t="str">
        <x:v>1</x:v>
      </x:c>
      <x:c r="G246" s="85" t="str">
        <x:v>Integrate</x:v>
      </x:c>
      <x:c r="H246" s="84" t="str">
        <x:v>Security, Privacy, Records, and Compliance</x:v>
      </x:c>
      <x:c r="I246" s="84" t="str">
        <x:v>Identity Manager</x:v>
      </x:c>
      <x:c r="J246" s="85" t="str">
        <x:v>Demonstration</x:v>
      </x:c>
      <x:c r="K246" s="85" t="str">
        <x:v>Proposed</x:v>
      </x:c>
      <x:c r="L246" s="84" t="str"/>
      <x:c r="M246" s="84" t="str"/>
      <x:c r="N246" s="84" t="str"/>
      <x:c r="O246" s="84" t="str"/>
      <x:c r="P246" s="84" t="str"/>
      <x:c r="Q246" s="84" t="str"/>
      <x:c r="R246" s="84" t="str"/>
      <x:c r="S246" s="84" t="str"/>
      <x:c r="T246" s="84" t="str"/>
    </x:row>
    <x:row r="247" ht="44" customHeight="1">
      <x:c r="A247" s="83" t="str">
        <x:v>SEC-003</x:v>
      </x:c>
      <x:c r="B247" s="84" t="str">
        <x:v>Security, Privacy, Records, and Compliance</x:v>
      </x:c>
      <x:c r="C247" s="84" t="str">
        <x:v>Least-privilege access</x:v>
      </x:c>
      <x:c r="D247" s="84" t="str">
        <x:v>Access shall be role-based and, where required, attribute-based using least privilege, separation of duties, division scope, project membership, sensitivity, and need to know.</x:v>
      </x:c>
      <x:c r="E247" s="85" t="str">
        <x:v>Must</x:v>
      </x:c>
      <x:c r="F247" s="85" t="str">
        <x:v>1</x:v>
      </x:c>
      <x:c r="G247" s="85" t="str">
        <x:v>Configure</x:v>
      </x:c>
      <x:c r="H247" s="84" t="str">
        <x:v>Security, Privacy, Records, and Compliance</x:v>
      </x:c>
      <x:c r="I247" s="84" t="str">
        <x:v>Security Manager</x:v>
      </x:c>
      <x:c r="J247" s="85" t="str">
        <x:v>Demonstration</x:v>
      </x:c>
      <x:c r="K247" s="85" t="str">
        <x:v>Proposed</x:v>
      </x:c>
      <x:c r="L247" s="84" t="str"/>
      <x:c r="M247" s="84" t="str"/>
      <x:c r="N247" s="84" t="str"/>
      <x:c r="O247" s="84" t="str"/>
      <x:c r="P247" s="84" t="str"/>
      <x:c r="Q247" s="84" t="str"/>
      <x:c r="R247" s="84" t="str"/>
      <x:c r="S247" s="84" t="str"/>
      <x:c r="T247" s="84" t="str"/>
    </x:row>
    <x:row r="248" ht="44" customHeight="1">
      <x:c r="A248" s="83" t="str">
        <x:v>SEC-004</x:v>
      </x:c>
      <x:c r="B248" s="84" t="str">
        <x:v>Security, Privacy, Records, and Compliance</x:v>
      </x:c>
      <x:c r="C248" s="84" t="str">
        <x:v>Row and field security</x:v>
      </x:c>
      <x:c r="D248" s="84" t="str">
        <x:v>The platform shall enforce record- and field-level access for sensitive demands, personnel attributes, cost rates, acquisition data, legal matters, and other restricted information.</x:v>
      </x:c>
      <x:c r="E248" s="85" t="str">
        <x:v>Must</x:v>
      </x:c>
      <x:c r="F248" s="85" t="str">
        <x:v>1</x:v>
      </x:c>
      <x:c r="G248" s="85" t="str">
        <x:v>Configure</x:v>
      </x:c>
      <x:c r="H248" s="84" t="str">
        <x:v>Security, Privacy, Records, and Compliance</x:v>
      </x:c>
      <x:c r="I248" s="84" t="str">
        <x:v>Security Manager</x:v>
      </x:c>
      <x:c r="J248" s="85" t="str">
        <x:v>Demonstration</x:v>
      </x:c>
      <x:c r="K248" s="85" t="str">
        <x:v>Proposed</x:v>
      </x:c>
      <x:c r="L248" s="84" t="str"/>
      <x:c r="M248" s="84" t="str"/>
      <x:c r="N248" s="84" t="str"/>
      <x:c r="O248" s="84" t="str"/>
      <x:c r="P248" s="84" t="str"/>
      <x:c r="Q248" s="84" t="str"/>
      <x:c r="R248" s="84" t="str"/>
      <x:c r="S248" s="84" t="str"/>
      <x:c r="T248" s="84" t="str"/>
    </x:row>
    <x:row r="249" ht="44" customHeight="1">
      <x:c r="A249" s="83" t="str">
        <x:v>SEC-005</x:v>
      </x:c>
      <x:c r="B249" s="84" t="str">
        <x:v>Security, Privacy, Records, and Compliance</x:v>
      </x:c>
      <x:c r="C249" s="84" t="str">
        <x:v>External user isolation</x:v>
      </x:c>
      <x:c r="D249" s="84" t="str">
        <x:v>If external stakeholders are granted access, they shall be restricted to explicitly shared records and fields and shall not infer enterprise portfolio information through search, counts, exports, notifications, or APIs.</x:v>
      </x:c>
      <x:c r="E249" s="85" t="str">
        <x:v>Must</x:v>
      </x:c>
      <x:c r="F249" s="85" t="str">
        <x:v>4</x:v>
      </x:c>
      <x:c r="G249" s="85" t="str">
        <x:v>Configure</x:v>
      </x:c>
      <x:c r="H249" s="84" t="str">
        <x:v>Security, Privacy, Records, and Compliance</x:v>
      </x:c>
      <x:c r="I249" s="84" t="str">
        <x:v>Security Manager</x:v>
      </x:c>
      <x:c r="J249" s="85" t="str">
        <x:v>Demonstration</x:v>
      </x:c>
      <x:c r="K249" s="85" t="str">
        <x:v>Proposed</x:v>
      </x:c>
      <x:c r="L249" s="84" t="str"/>
      <x:c r="M249" s="84" t="str"/>
      <x:c r="N249" s="84" t="str"/>
      <x:c r="O249" s="84" t="str"/>
      <x:c r="P249" s="84" t="str"/>
      <x:c r="Q249" s="84" t="str"/>
      <x:c r="R249" s="84" t="str"/>
      <x:c r="S249" s="84" t="str"/>
      <x:c r="T249" s="84" t="str"/>
    </x:row>
    <x:row r="250" ht="44" customHeight="1">
      <x:c r="A250" s="83" t="str">
        <x:v>SEC-006</x:v>
      </x:c>
      <x:c r="B250" s="84" t="str">
        <x:v>Security, Privacy, Records, and Compliance</x:v>
      </x:c>
      <x:c r="C250" s="84" t="str">
        <x:v>Data marking</x:v>
      </x:c>
      <x:c r="D250" s="84" t="str">
        <x:v>The platform shall display and preserve applicable classification, CUI, dissemination, privacy, and records markings on screens, exports, reports, attachments, notifications, and API responses.</x:v>
      </x:c>
      <x:c r="E250" s="85" t="str">
        <x:v>Must</x:v>
      </x:c>
      <x:c r="F250" s="85" t="str">
        <x:v>1</x:v>
      </x:c>
      <x:c r="G250" s="85" t="str">
        <x:v>Configure</x:v>
      </x:c>
      <x:c r="H250" s="84" t="str">
        <x:v>Security, Privacy, Records, and Compliance</x:v>
      </x:c>
      <x:c r="I250" s="84" t="str">
        <x:v>Security Manager</x:v>
      </x:c>
      <x:c r="J250" s="85" t="str">
        <x:v>Demonstration</x:v>
      </x:c>
      <x:c r="K250" s="85" t="str">
        <x:v>Proposed</x:v>
      </x:c>
      <x:c r="L250" s="84" t="str"/>
      <x:c r="M250" s="84" t="str"/>
      <x:c r="N250" s="84" t="str"/>
      <x:c r="O250" s="84" t="str"/>
      <x:c r="P250" s="84" t="str"/>
      <x:c r="Q250" s="84" t="str"/>
      <x:c r="R250" s="84" t="str"/>
      <x:c r="S250" s="84" t="str"/>
      <x:c r="T250" s="84" t="str"/>
    </x:row>
    <x:row r="251" ht="44" customHeight="1">
      <x:c r="A251" s="83" t="str">
        <x:v>SEC-007</x:v>
      </x:c>
      <x:c r="B251" s="84" t="str">
        <x:v>Security, Privacy, Records, and Compliance</x:v>
      </x:c>
      <x:c r="C251" s="84" t="str">
        <x:v>Encryption</x:v>
      </x:c>
      <x:c r="D251" s="84" t="str">
        <x:v>The solution shall use approved cryptography for data in transit and at rest, including backups, integration payloads, and file storage.</x:v>
      </x:c>
      <x:c r="E251" s="85" t="str">
        <x:v>Must</x:v>
      </x:c>
      <x:c r="F251" s="85" t="str">
        <x:v>1</x:v>
      </x:c>
      <x:c r="G251" s="85" t="str">
        <x:v>Configure</x:v>
      </x:c>
      <x:c r="H251" s="84" t="str">
        <x:v>Security, Privacy, Records, and Compliance</x:v>
      </x:c>
      <x:c r="I251" s="84" t="str">
        <x:v>Security Manager</x:v>
      </x:c>
      <x:c r="J251" s="85" t="str">
        <x:v>Security test</x:v>
      </x:c>
      <x:c r="K251" s="85" t="str">
        <x:v>Proposed</x:v>
      </x:c>
      <x:c r="L251" s="84" t="str"/>
      <x:c r="M251" s="84" t="str"/>
      <x:c r="N251" s="84" t="str"/>
      <x:c r="O251" s="84" t="str"/>
      <x:c r="P251" s="84" t="str"/>
      <x:c r="Q251" s="84" t="str"/>
      <x:c r="R251" s="84" t="str"/>
      <x:c r="S251" s="84" t="str"/>
      <x:c r="T251" s="84" t="str"/>
    </x:row>
    <x:row r="252" ht="44" customHeight="1">
      <x:c r="A252" s="83" t="str">
        <x:v>SEC-008</x:v>
      </x:c>
      <x:c r="B252" s="84" t="str">
        <x:v>Security, Privacy, Records, and Compliance</x:v>
      </x:c>
      <x:c r="C252" s="84" t="str">
        <x:v>Audit logging</x:v>
      </x:c>
      <x:c r="D252" s="84" t="str">
        <x:v>The platform shall log authentication, access to sensitive records, creates, updates, deletes, exports, imports, approvals, delegations, configuration changes, integration activity, and administrative actions.</x:v>
      </x:c>
      <x:c r="E252" s="85" t="str">
        <x:v>Must</x:v>
      </x:c>
      <x:c r="F252" s="85" t="str">
        <x:v>1</x:v>
      </x:c>
      <x:c r="G252" s="85" t="str">
        <x:v>Configure</x:v>
      </x:c>
      <x:c r="H252" s="84" t="str">
        <x:v>Security, Privacy, Records, and Compliance</x:v>
      </x:c>
      <x:c r="I252" s="84" t="str">
        <x:v>Audit Manager</x:v>
      </x:c>
      <x:c r="J252" s="85" t="str">
        <x:v>Demonstration</x:v>
      </x:c>
      <x:c r="K252" s="85" t="str">
        <x:v>Proposed</x:v>
      </x:c>
      <x:c r="L252" s="84" t="str"/>
      <x:c r="M252" s="84" t="str"/>
      <x:c r="N252" s="84" t="str"/>
      <x:c r="O252" s="84" t="str"/>
      <x:c r="P252" s="84" t="str"/>
      <x:c r="Q252" s="84" t="str"/>
      <x:c r="R252" s="84" t="str"/>
      <x:c r="S252" s="84" t="str"/>
      <x:c r="T252" s="84" t="str"/>
    </x:row>
    <x:row r="253" ht="44" customHeight="1">
      <x:c r="A253" s="83" t="str">
        <x:v>SEC-009</x:v>
      </x:c>
      <x:c r="B253" s="84" t="str">
        <x:v>Security, Privacy, Records, and Compliance</x:v>
      </x:c>
      <x:c r="C253" s="84" t="str">
        <x:v>Tamper-evident audit</x:v>
      </x:c>
      <x:c r="D253" s="84" t="str">
        <x:v>Audit records shall be protected from unauthorized modification and retained, searchable, exportable, and time-synchronized according to policy.</x:v>
      </x:c>
      <x:c r="E253" s="85" t="str">
        <x:v>Must</x:v>
      </x:c>
      <x:c r="F253" s="85" t="str">
        <x:v>1</x:v>
      </x:c>
      <x:c r="G253" s="85" t="str">
        <x:v>Configure</x:v>
      </x:c>
      <x:c r="H253" s="84" t="str">
        <x:v>Security, Privacy, Records, and Compliance</x:v>
      </x:c>
      <x:c r="I253" s="84" t="str">
        <x:v>Audit Manager</x:v>
      </x:c>
      <x:c r="J253" s="85" t="str">
        <x:v>Demonstration</x:v>
      </x:c>
      <x:c r="K253" s="85" t="str">
        <x:v>Proposed</x:v>
      </x:c>
      <x:c r="L253" s="84" t="str"/>
      <x:c r="M253" s="84" t="str"/>
      <x:c r="N253" s="84" t="str"/>
      <x:c r="O253" s="84" t="str"/>
      <x:c r="P253" s="84" t="str"/>
      <x:c r="Q253" s="84" t="str"/>
      <x:c r="R253" s="84" t="str"/>
      <x:c r="S253" s="84" t="str"/>
      <x:c r="T253" s="84" t="str"/>
    </x:row>
    <x:row r="254" ht="44" customHeight="1">
      <x:c r="A254" s="83" t="str">
        <x:v>SEC-010</x:v>
      </x:c>
      <x:c r="B254" s="84" t="str">
        <x:v>Security, Privacy, Records, and Compliance</x:v>
      </x:c>
      <x:c r="C254" s="84" t="str">
        <x:v>Separation of duties</x:v>
      </x:c>
      <x:c r="D254" s="84" t="str">
        <x:v>The platform shall support separation among requester, assessor, approver, financial certifier, resource approver, administrator, auditor, and data steward roles and shall report conflicting assignments.</x:v>
      </x:c>
      <x:c r="E254" s="85" t="str">
        <x:v>Must</x:v>
      </x:c>
      <x:c r="F254" s="85" t="str">
        <x:v>1</x:v>
      </x:c>
      <x:c r="G254" s="85" t="str">
        <x:v>Configure</x:v>
      </x:c>
      <x:c r="H254" s="84" t="str">
        <x:v>Security, Privacy, Records, and Compliance</x:v>
      </x:c>
      <x:c r="I254" s="84" t="str">
        <x:v>Security Manager</x:v>
      </x:c>
      <x:c r="J254" s="85" t="str">
        <x:v>Demonstration</x:v>
      </x:c>
      <x:c r="K254" s="85" t="str">
        <x:v>Proposed</x:v>
      </x:c>
      <x:c r="L254" s="84" t="str"/>
      <x:c r="M254" s="84" t="str"/>
      <x:c r="N254" s="84" t="str"/>
      <x:c r="O254" s="84" t="str"/>
      <x:c r="P254" s="84" t="str"/>
      <x:c r="Q254" s="84" t="str"/>
      <x:c r="R254" s="84" t="str"/>
      <x:c r="S254" s="84" t="str"/>
      <x:c r="T254" s="84" t="str"/>
    </x:row>
    <x:row r="255" ht="44" customHeight="1">
      <x:c r="A255" s="83" t="str">
        <x:v>SEC-011</x:v>
      </x:c>
      <x:c r="B255" s="84" t="str">
        <x:v>Security, Privacy, Records, and Compliance</x:v>
      </x:c>
      <x:c r="C255" s="84" t="str">
        <x:v>Session security</x:v>
      </x:c>
      <x:c r="D255" s="84" t="str">
        <x:v>The solution shall enforce approved session timeout, reauthentication for sensitive actions, concurrent session, device, and failed-login controls.</x:v>
      </x:c>
      <x:c r="E255" s="85" t="str">
        <x:v>Must</x:v>
      </x:c>
      <x:c r="F255" s="85" t="str">
        <x:v>1</x:v>
      </x:c>
      <x:c r="G255" s="85" t="str">
        <x:v>Configure</x:v>
      </x:c>
      <x:c r="H255" s="84" t="str">
        <x:v>Security, Privacy, Records, and Compliance</x:v>
      </x:c>
      <x:c r="I255" s="84" t="str">
        <x:v>Security Manager</x:v>
      </x:c>
      <x:c r="J255" s="85" t="str">
        <x:v>Demonstration</x:v>
      </x:c>
      <x:c r="K255" s="85" t="str">
        <x:v>Proposed</x:v>
      </x:c>
      <x:c r="L255" s="84" t="str"/>
      <x:c r="M255" s="84" t="str"/>
      <x:c r="N255" s="84" t="str"/>
      <x:c r="O255" s="84" t="str"/>
      <x:c r="P255" s="84" t="str"/>
      <x:c r="Q255" s="84" t="str"/>
      <x:c r="R255" s="84" t="str"/>
      <x:c r="S255" s="84" t="str"/>
      <x:c r="T255" s="84" t="str"/>
    </x:row>
    <x:row r="256" ht="44" customHeight="1">
      <x:c r="A256" s="83" t="str">
        <x:v>SEC-012</x:v>
      </x:c>
      <x:c r="B256" s="84" t="str">
        <x:v>Security, Privacy, Records, and Compliance</x:v>
      </x:c>
      <x:c r="C256" s="84" t="str">
        <x:v>Malware and file control</x:v>
      </x:c>
      <x:c r="D256" s="84" t="str">
        <x:v>Uploaded files shall be type- and size-validated, scanned using approved protections, and prevented from executing active content not permitted by policy.</x:v>
      </x:c>
      <x:c r="E256" s="85" t="str">
        <x:v>Must</x:v>
      </x:c>
      <x:c r="F256" s="85" t="str">
        <x:v>1</x:v>
      </x:c>
      <x:c r="G256" s="85" t="str">
        <x:v>Configure</x:v>
      </x:c>
      <x:c r="H256" s="84" t="str">
        <x:v>Security, Privacy, Records, and Compliance</x:v>
      </x:c>
      <x:c r="I256" s="84" t="str">
        <x:v>Security Manager</x:v>
      </x:c>
      <x:c r="J256" s="85" t="str">
        <x:v>Demonstration</x:v>
      </x:c>
      <x:c r="K256" s="85" t="str">
        <x:v>Proposed</x:v>
      </x:c>
      <x:c r="L256" s="84" t="str"/>
      <x:c r="M256" s="84" t="str"/>
      <x:c r="N256" s="84" t="str"/>
      <x:c r="O256" s="84" t="str"/>
      <x:c r="P256" s="84" t="str"/>
      <x:c r="Q256" s="84" t="str"/>
      <x:c r="R256" s="84" t="str"/>
      <x:c r="S256" s="84" t="str"/>
      <x:c r="T256" s="84" t="str"/>
    </x:row>
    <x:row r="257" ht="44" customHeight="1">
      <x:c r="A257" s="83" t="str">
        <x:v>SEC-013</x:v>
      </x:c>
      <x:c r="B257" s="84" t="str">
        <x:v>Security, Privacy, Records, and Compliance</x:v>
      </x:c>
      <x:c r="C257" s="84" t="str">
        <x:v>Records management</x:v>
      </x:c>
      <x:c r="D257" s="84" t="str">
        <x:v>Records shall be categorized, retained, frozen under legal or records hold, transferred, and disposed according to approved schedules, with disposition auditable.</x:v>
      </x:c>
      <x:c r="E257" s="85" t="str">
        <x:v>Must</x:v>
      </x:c>
      <x:c r="F257" s="85" t="str">
        <x:v>1</x:v>
      </x:c>
      <x:c r="G257" s="85" t="str">
        <x:v>Integrate</x:v>
      </x:c>
      <x:c r="H257" s="84" t="str">
        <x:v>Security, Privacy, Records, and Compliance</x:v>
      </x:c>
      <x:c r="I257" s="84" t="str">
        <x:v>Records Manager</x:v>
      </x:c>
      <x:c r="J257" s="85" t="str">
        <x:v>Demonstration</x:v>
      </x:c>
      <x:c r="K257" s="85" t="str">
        <x:v>Proposed</x:v>
      </x:c>
      <x:c r="L257" s="84" t="str"/>
      <x:c r="M257" s="84" t="str"/>
      <x:c r="N257" s="84" t="str"/>
      <x:c r="O257" s="84" t="str"/>
      <x:c r="P257" s="84" t="str"/>
      <x:c r="Q257" s="84" t="str"/>
      <x:c r="R257" s="84" t="str"/>
      <x:c r="S257" s="84" t="str"/>
      <x:c r="T257" s="84" t="str"/>
    </x:row>
    <x:row r="258" ht="44" customHeight="1">
      <x:c r="A258" s="83" t="str">
        <x:v>SEC-014</x:v>
      </x:c>
      <x:c r="B258" s="84" t="str">
        <x:v>Security, Privacy, Records, and Compliance</x:v>
      </x:c>
      <x:c r="C258" s="84" t="str">
        <x:v>Privacy controls</x:v>
      </x:c>
      <x:c r="D258" s="84" t="str">
        <x:v>The platform shall support privacy minimization, purpose limitation, access accounting, appropriate notices, and handling rules for personally identifiable information.</x:v>
      </x:c>
      <x:c r="E258" s="85" t="str">
        <x:v>Must</x:v>
      </x:c>
      <x:c r="F258" s="85" t="str">
        <x:v>1</x:v>
      </x:c>
      <x:c r="G258" s="85" t="str">
        <x:v>Configure</x:v>
      </x:c>
      <x:c r="H258" s="84" t="str">
        <x:v>Security, Privacy, Records, and Compliance</x:v>
      </x:c>
      <x:c r="I258" s="84" t="str">
        <x:v>Privacy Officer</x:v>
      </x:c>
      <x:c r="J258" s="85" t="str">
        <x:v>Demonstration</x:v>
      </x:c>
      <x:c r="K258" s="85" t="str">
        <x:v>Proposed</x:v>
      </x:c>
      <x:c r="L258" s="84" t="str"/>
      <x:c r="M258" s="84" t="str"/>
      <x:c r="N258" s="84" t="str"/>
      <x:c r="O258" s="84" t="str"/>
      <x:c r="P258" s="84" t="str"/>
      <x:c r="Q258" s="84" t="str"/>
      <x:c r="R258" s="84" t="str"/>
      <x:c r="S258" s="84" t="str"/>
      <x:c r="T258" s="84" t="str"/>
    </x:row>
    <x:row r="259" ht="44" customHeight="1">
      <x:c r="A259" s="83" t="str">
        <x:v>SEC-015</x:v>
      </x:c>
      <x:c r="B259" s="84" t="str">
        <x:v>Security, Privacy, Records, and Compliance</x:v>
      </x:c>
      <x:c r="C259" s="84" t="str">
        <x:v>Backup and recovery security</x:v>
      </x:c>
      <x:c r="D259" s="84" t="str">
        <x:v>Backups and recovery environments shall inherit access, encryption, marking, retention, and audit protections equivalent to production.</x:v>
      </x:c>
      <x:c r="E259" s="85" t="str">
        <x:v>Must</x:v>
      </x:c>
      <x:c r="F259" s="85" t="str">
        <x:v>1</x:v>
      </x:c>
      <x:c r="G259" s="85" t="str">
        <x:v>Configure</x:v>
      </x:c>
      <x:c r="H259" s="84" t="str">
        <x:v>Security, Privacy, Records, and Compliance</x:v>
      </x:c>
      <x:c r="I259" s="84" t="str">
        <x:v>Service Owner</x:v>
      </x:c>
      <x:c r="J259" s="85" t="str">
        <x:v>Demonstration</x:v>
      </x:c>
      <x:c r="K259" s="85" t="str">
        <x:v>Proposed</x:v>
      </x:c>
      <x:c r="L259" s="84" t="str"/>
      <x:c r="M259" s="84" t="str"/>
      <x:c r="N259" s="84" t="str"/>
      <x:c r="O259" s="84" t="str"/>
      <x:c r="P259" s="84" t="str"/>
      <x:c r="Q259" s="84" t="str"/>
      <x:c r="R259" s="84" t="str"/>
      <x:c r="S259" s="84" t="str"/>
      <x:c r="T259" s="84" t="str"/>
    </x:row>
    <x:row r="260" ht="44" customHeight="1">
      <x:c r="A260" s="83" t="str">
        <x:v>SEC-016</x:v>
      </x:c>
      <x:c r="B260" s="84" t="str">
        <x:v>Security, Privacy, Records, and Compliance</x:v>
      </x:c>
      <x:c r="C260" s="84" t="str">
        <x:v>Secure API</x:v>
      </x:c>
      <x:c r="D260" s="84" t="str">
        <x:v>APIs shall use approved authentication and authorization, rate limits, input validation, logging, secrets management, and protection against replay and mass extraction.</x:v>
      </x:c>
      <x:c r="E260" s="85" t="str">
        <x:v>Must</x:v>
      </x:c>
      <x:c r="F260" s="85" t="str">
        <x:v>2</x:v>
      </x:c>
      <x:c r="G260" s="85" t="str">
        <x:v>Configure</x:v>
      </x:c>
      <x:c r="H260" s="84" t="str">
        <x:v>Security, Privacy, Records, and Compliance</x:v>
      </x:c>
      <x:c r="I260" s="84" t="str">
        <x:v>Security Manager</x:v>
      </x:c>
      <x:c r="J260" s="85" t="str">
        <x:v>Demonstration</x:v>
      </x:c>
      <x:c r="K260" s="85" t="str">
        <x:v>Proposed</x:v>
      </x:c>
      <x:c r="L260" s="84" t="str"/>
      <x:c r="M260" s="84" t="str"/>
      <x:c r="N260" s="84" t="str"/>
      <x:c r="O260" s="84" t="str"/>
      <x:c r="P260" s="84" t="str"/>
      <x:c r="Q260" s="84" t="str"/>
      <x:c r="R260" s="84" t="str"/>
      <x:c r="S260" s="84" t="str"/>
      <x:c r="T260" s="84" t="str"/>
    </x:row>
    <x:row r="261" ht="44" customHeight="1">
      <x:c r="A261" s="83" t="str">
        <x:v>SEC-017</x:v>
      </x:c>
      <x:c r="B261" s="84" t="str">
        <x:v>Security, Privacy, Records, and Compliance</x:v>
      </x:c>
      <x:c r="C261" s="84" t="str">
        <x:v>Security testing</x:v>
      </x:c>
      <x:c r="D261" s="84" t="str">
        <x:v>The solution shall complete required architecture review, threat modeling, vulnerability scanning, code or configuration review, penetration testing, and remediation before production release and after material change.</x:v>
      </x:c>
      <x:c r="E261" s="85" t="str">
        <x:v>Must</x:v>
      </x:c>
      <x:c r="F261" s="85" t="str">
        <x:v>1</x:v>
      </x:c>
      <x:c r="G261" s="85" t="str">
        <x:v>Policy/Process</x:v>
      </x:c>
      <x:c r="H261" s="84" t="str">
        <x:v>Security, Privacy, Records, and Compliance</x:v>
      </x:c>
      <x:c r="I261" s="84" t="str">
        <x:v>Security Manager</x:v>
      </x:c>
      <x:c r="J261" s="85" t="str">
        <x:v>Demonstration</x:v>
      </x:c>
      <x:c r="K261" s="85" t="str">
        <x:v>Proposed</x:v>
      </x:c>
      <x:c r="L261" s="84" t="str"/>
      <x:c r="M261" s="84" t="str"/>
      <x:c r="N261" s="84" t="str"/>
      <x:c r="O261" s="84" t="str"/>
      <x:c r="P261" s="84" t="str"/>
      <x:c r="Q261" s="84" t="str"/>
      <x:c r="R261" s="84" t="str"/>
      <x:c r="S261" s="84" t="str"/>
      <x:c r="T261" s="84" t="str"/>
    </x:row>
    <x:row r="262" ht="44" customHeight="1">
      <x:c r="A262" s="83" t="str">
        <x:v>SEC-018</x:v>
      </x:c>
      <x:c r="B262" s="84" t="str">
        <x:v>Security, Privacy, Records, and Compliance</x:v>
      </x:c>
      <x:c r="C262" s="84" t="str">
        <x:v>Control inheritance and evidence</x:v>
      </x:c>
      <x:c r="D262" s="84" t="str">
        <x:v>The implementation shall document applicable inherited and system-specific controls and retain evidence needed for risk management and continuous monitoring.</x:v>
      </x:c>
      <x:c r="E262" s="85" t="str">
        <x:v>Must</x:v>
      </x:c>
      <x:c r="F262" s="85" t="str">
        <x:v>1</x:v>
      </x:c>
      <x:c r="G262" s="85" t="str">
        <x:v>Policy/Process</x:v>
      </x:c>
      <x:c r="H262" s="84" t="str">
        <x:v>Security, Privacy, Records, and Compliance</x:v>
      </x:c>
      <x:c r="I262" s="84" t="str">
        <x:v>RMF Lead</x:v>
      </x:c>
      <x:c r="J262" s="85" t="str">
        <x:v>Demonstration</x:v>
      </x:c>
      <x:c r="K262" s="85" t="str">
        <x:v>Proposed</x:v>
      </x:c>
      <x:c r="L262" s="84" t="str"/>
      <x:c r="M262" s="84" t="str"/>
      <x:c r="N262" s="84" t="str"/>
      <x:c r="O262" s="84" t="str"/>
      <x:c r="P262" s="84" t="str"/>
      <x:c r="Q262" s="84" t="str"/>
      <x:c r="R262" s="84" t="str"/>
      <x:c r="S262" s="84" t="str"/>
      <x:c r="T262" s="84" t="str"/>
    </x:row>
    <x:row r="263" ht="44" customHeight="1">
      <x:c r="A263" s="83" t="str">
        <x:v>SEC-019</x:v>
      </x:c>
      <x:c r="B263" s="84" t="str">
        <x:v>Security, Privacy, Records, and Compliance</x:v>
      </x:c>
      <x:c r="C263" s="84" t="str">
        <x:v>Secure notification content</x:v>
      </x:c>
      <x:c r="D263" s="84" t="str">
        <x:v>Email and calendar notifications shall contain only the minimum approved information and shall direct users to the authenticated platform for sensitive details.</x:v>
      </x:c>
      <x:c r="E263" s="85" t="str">
        <x:v>Must</x:v>
      </x:c>
      <x:c r="F263" s="85" t="str">
        <x:v>1</x:v>
      </x:c>
      <x:c r="G263" s="85" t="str">
        <x:v>Configure</x:v>
      </x:c>
      <x:c r="H263" s="84" t="str">
        <x:v>Security, Privacy, Records, and Compliance</x:v>
      </x:c>
      <x:c r="I263" s="84" t="str">
        <x:v>Security Manager</x:v>
      </x:c>
      <x:c r="J263" s="85" t="str">
        <x:v>Demonstration</x:v>
      </x:c>
      <x:c r="K263" s="85" t="str">
        <x:v>Proposed</x:v>
      </x:c>
      <x:c r="L263" s="84" t="str"/>
      <x:c r="M263" s="84" t="str"/>
      <x:c r="N263" s="84" t="str"/>
      <x:c r="O263" s="84" t="str"/>
      <x:c r="P263" s="84" t="str"/>
      <x:c r="Q263" s="84" t="str"/>
      <x:c r="R263" s="84" t="str"/>
      <x:c r="S263" s="84" t="str"/>
      <x:c r="T263" s="84" t="str"/>
    </x:row>
    <x:row r="264" ht="44" customHeight="1">
      <x:c r="A264" s="83" t="str">
        <x:v>NFR-001</x:v>
      </x:c>
      <x:c r="B264" s="84" t="str">
        <x:v>Nonfunctional and Quality Requirements</x:v>
      </x:c>
      <x:c r="C264" s="84" t="str">
        <x:v>Availability</x:v>
      </x:c>
      <x:c r="D264" s="84" t="str">
        <x:v>The production service shall meet an approved availability target and maintenance window, with initial objective of at least 99.9 percent monthly availability excluding approved maintenance.</x:v>
      </x:c>
      <x:c r="E264" s="85" t="str">
        <x:v>Must</x:v>
      </x:c>
      <x:c r="F264" s="85" t="str">
        <x:v>1</x:v>
      </x:c>
      <x:c r="G264" s="85" t="str">
        <x:v>Configure</x:v>
      </x:c>
      <x:c r="H264" s="84" t="str">
        <x:v>Nonfunctional and Quality Requirements</x:v>
      </x:c>
      <x:c r="I264" s="84" t="str">
        <x:v>Service Owner</x:v>
      </x:c>
      <x:c r="J264" s="85" t="str">
        <x:v>Service test</x:v>
      </x:c>
      <x:c r="K264" s="85" t="str">
        <x:v>Proposed</x:v>
      </x:c>
      <x:c r="L264" s="84" t="str"/>
      <x:c r="M264" s="84" t="str"/>
      <x:c r="N264" s="84" t="str"/>
      <x:c r="O264" s="84" t="str"/>
      <x:c r="P264" s="84" t="str"/>
      <x:c r="Q264" s="84" t="str"/>
      <x:c r="R264" s="84" t="str"/>
      <x:c r="S264" s="84" t="str"/>
      <x:c r="T264" s="84" t="str"/>
    </x:row>
    <x:row r="265" ht="44" customHeight="1">
      <x:c r="A265" s="83" t="str">
        <x:v>NFR-002</x:v>
      </x:c>
      <x:c r="B265" s="84" t="str">
        <x:v>Nonfunctional and Quality Requirements</x:v>
      </x:c>
      <x:c r="C265" s="84" t="str">
        <x:v>Interactive performance</x:v>
      </x:c>
      <x:c r="D265" s="84" t="str">
        <x:v>For normal load, 95 percent of common page views and record actions shall complete within three seconds, excluding external integration latency and documented long-running analytics.</x:v>
      </x:c>
      <x:c r="E265" s="85" t="str">
        <x:v>Must</x:v>
      </x:c>
      <x:c r="F265" s="85" t="str">
        <x:v>1</x:v>
      </x:c>
      <x:c r="G265" s="85" t="str">
        <x:v>Configure</x:v>
      </x:c>
      <x:c r="H265" s="84" t="str">
        <x:v>Nonfunctional and Quality Requirements</x:v>
      </x:c>
      <x:c r="I265" s="84" t="str">
        <x:v>Service Owner</x:v>
      </x:c>
      <x:c r="J265" s="85" t="str">
        <x:v>Performance test</x:v>
      </x:c>
      <x:c r="K265" s="85" t="str">
        <x:v>Proposed</x:v>
      </x:c>
      <x:c r="L265" s="84" t="str"/>
      <x:c r="M265" s="84" t="str"/>
      <x:c r="N265" s="84" t="str"/>
      <x:c r="O265" s="84" t="str"/>
      <x:c r="P265" s="84" t="str"/>
      <x:c r="Q265" s="84" t="str"/>
      <x:c r="R265" s="84" t="str"/>
      <x:c r="S265" s="84" t="str"/>
      <x:c r="T265" s="84" t="str"/>
    </x:row>
    <x:row r="266" ht="44" customHeight="1">
      <x:c r="A266" s="83" t="str">
        <x:v>NFR-003</x:v>
      </x:c>
      <x:c r="B266" s="84" t="str">
        <x:v>Nonfunctional and Quality Requirements</x:v>
      </x:c>
      <x:c r="C266" s="84" t="str">
        <x:v>Dashboard performance</x:v>
      </x:c>
      <x:c r="D266" s="84" t="str">
        <x:v>Division and senior dashboards shall render current cached results within three seconds for the 95th percentile under the approved concurrent-user load.</x:v>
      </x:c>
      <x:c r="E266" s="85" t="str">
        <x:v>Must</x:v>
      </x:c>
      <x:c r="F266" s="85" t="str">
        <x:v>1</x:v>
      </x:c>
      <x:c r="G266" s="85" t="str">
        <x:v>Configure</x:v>
      </x:c>
      <x:c r="H266" s="84" t="str">
        <x:v>Nonfunctional and Quality Requirements</x:v>
      </x:c>
      <x:c r="I266" s="84" t="str">
        <x:v>Service Owner</x:v>
      </x:c>
      <x:c r="J266" s="85" t="str">
        <x:v>Performance test</x:v>
      </x:c>
      <x:c r="K266" s="85" t="str">
        <x:v>Proposed</x:v>
      </x:c>
      <x:c r="L266" s="84" t="str"/>
      <x:c r="M266" s="84" t="str"/>
      <x:c r="N266" s="84" t="str"/>
      <x:c r="O266" s="84" t="str"/>
      <x:c r="P266" s="84" t="str"/>
      <x:c r="Q266" s="84" t="str"/>
      <x:c r="R266" s="84" t="str"/>
      <x:c r="S266" s="84" t="str"/>
      <x:c r="T266" s="84" t="str"/>
    </x:row>
    <x:row r="267" ht="44" customHeight="1">
      <x:c r="A267" s="83" t="str">
        <x:v>NFR-004</x:v>
      </x:c>
      <x:c r="B267" s="84" t="str">
        <x:v>Nonfunctional and Quality Requirements</x:v>
      </x:c>
      <x:c r="C267" s="84" t="str">
        <x:v>Scalability</x:v>
      </x:c>
      <x:c r="D267" s="84" t="str">
        <x:v>The platform shall scale to enterprise growth in users, divisions, portfolio items, tasks, attachments, financial records, forecasts, and integrations without redesign of the core data model.</x:v>
      </x:c>
      <x:c r="E267" s="85" t="str">
        <x:v>Must</x:v>
      </x:c>
      <x:c r="F267" s="85" t="str">
        <x:v>1</x:v>
      </x:c>
      <x:c r="G267" s="85" t="str">
        <x:v>Configure</x:v>
      </x:c>
      <x:c r="H267" s="84" t="str">
        <x:v>Nonfunctional and Quality Requirements</x:v>
      </x:c>
      <x:c r="I267" s="84" t="str">
        <x:v>Solution Architect</x:v>
      </x:c>
      <x:c r="J267" s="85" t="str">
        <x:v>Demonstration</x:v>
      </x:c>
      <x:c r="K267" s="85" t="str">
        <x:v>Proposed</x:v>
      </x:c>
      <x:c r="L267" s="84" t="str"/>
      <x:c r="M267" s="84" t="str"/>
      <x:c r="N267" s="84" t="str"/>
      <x:c r="O267" s="84" t="str"/>
      <x:c r="P267" s="84" t="str"/>
      <x:c r="Q267" s="84" t="str"/>
      <x:c r="R267" s="84" t="str"/>
      <x:c r="S267" s="84" t="str"/>
      <x:c r="T267" s="84" t="str"/>
    </x:row>
    <x:row r="268" ht="44" customHeight="1">
      <x:c r="A268" s="83" t="str">
        <x:v>NFR-005</x:v>
      </x:c>
      <x:c r="B268" s="84" t="str">
        <x:v>Nonfunctional and Quality Requirements</x:v>
      </x:c>
      <x:c r="C268" s="84" t="str">
        <x:v>Responsive design</x:v>
      </x:c>
      <x:c r="D268" s="84" t="str">
        <x:v>Core functions shall be usable on approved desktop, laptop, and tablet screen sizes without horizontal scrolling for primary workflows.</x:v>
      </x:c>
      <x:c r="E268" s="85" t="str">
        <x:v>Must</x:v>
      </x:c>
      <x:c r="F268" s="85" t="str">
        <x:v>1</x:v>
      </x:c>
      <x:c r="G268" s="85" t="str">
        <x:v>Configure</x:v>
      </x:c>
      <x:c r="H268" s="84" t="str">
        <x:v>Nonfunctional and Quality Requirements</x:v>
      </x:c>
      <x:c r="I268" s="84" t="str">
        <x:v>UX Lead</x:v>
      </x:c>
      <x:c r="J268" s="85" t="str">
        <x:v>Demonstration</x:v>
      </x:c>
      <x:c r="K268" s="85" t="str">
        <x:v>Proposed</x:v>
      </x:c>
      <x:c r="L268" s="84" t="str"/>
      <x:c r="M268" s="84" t="str"/>
      <x:c r="N268" s="84" t="str"/>
      <x:c r="O268" s="84" t="str"/>
      <x:c r="P268" s="84" t="str"/>
      <x:c r="Q268" s="84" t="str"/>
      <x:c r="R268" s="84" t="str"/>
      <x:c r="S268" s="84" t="str"/>
      <x:c r="T268" s="84" t="str"/>
    </x:row>
    <x:row r="269" ht="44" customHeight="1">
      <x:c r="A269" s="83" t="str">
        <x:v>NFR-006</x:v>
      </x:c>
      <x:c r="B269" s="84" t="str">
        <x:v>Nonfunctional and Quality Requirements</x:v>
      </x:c>
      <x:c r="C269" s="84" t="str">
        <x:v>Accessibility</x:v>
      </x:c>
      <x:c r="D269" s="84" t="str">
        <x:v>The user interface, generated reports, and user documentation shall conform to applicable Section 508 requirements and WCAG 2.2 Level AA, verified through automated and manual testing.</x:v>
      </x:c>
      <x:c r="E269" s="85" t="str">
        <x:v>Must</x:v>
      </x:c>
      <x:c r="F269" s="85" t="str">
        <x:v>1</x:v>
      </x:c>
      <x:c r="G269" s="85" t="str">
        <x:v>Configure</x:v>
      </x:c>
      <x:c r="H269" s="84" t="str">
        <x:v>Nonfunctional and Quality Requirements</x:v>
      </x:c>
      <x:c r="I269" s="84" t="str">
        <x:v>Accessibility Lead</x:v>
      </x:c>
      <x:c r="J269" s="85" t="str">
        <x:v>Accessibility test</x:v>
      </x:c>
      <x:c r="K269" s="85" t="str">
        <x:v>Proposed</x:v>
      </x:c>
      <x:c r="L269" s="84" t="str"/>
      <x:c r="M269" s="84" t="str"/>
      <x:c r="N269" s="84" t="str"/>
      <x:c r="O269" s="84" t="str"/>
      <x:c r="P269" s="84" t="str"/>
      <x:c r="Q269" s="84" t="str"/>
      <x:c r="R269" s="84" t="str"/>
      <x:c r="S269" s="84" t="str"/>
      <x:c r="T269" s="84" t="str"/>
    </x:row>
    <x:row r="270" ht="44" customHeight="1">
      <x:c r="A270" s="83" t="str">
        <x:v>NFR-007</x:v>
      </x:c>
      <x:c r="B270" s="84" t="str">
        <x:v>Nonfunctional and Quality Requirements</x:v>
      </x:c>
      <x:c r="C270" s="84" t="str">
        <x:v>Usability</x:v>
      </x:c>
      <x:c r="D270" s="84" t="str">
        <x:v>Representative users shall complete defined intake, assessment, approval, project update, resource assignment, and executive drill-down tasks with target success rates established during usability testing.</x:v>
      </x:c>
      <x:c r="E270" s="85" t="str">
        <x:v>Must</x:v>
      </x:c>
      <x:c r="F270" s="85" t="str">
        <x:v>1</x:v>
      </x:c>
      <x:c r="G270" s="85" t="str">
        <x:v>Configure</x:v>
      </x:c>
      <x:c r="H270" s="84" t="str">
        <x:v>Nonfunctional and Quality Requirements</x:v>
      </x:c>
      <x:c r="I270" s="84" t="str">
        <x:v>UX Lead</x:v>
      </x:c>
      <x:c r="J270" s="85" t="str">
        <x:v>Usability test</x:v>
      </x:c>
      <x:c r="K270" s="85" t="str">
        <x:v>Proposed</x:v>
      </x:c>
      <x:c r="L270" s="84" t="str"/>
      <x:c r="M270" s="84" t="str"/>
      <x:c r="N270" s="84" t="str"/>
      <x:c r="O270" s="84" t="str"/>
      <x:c r="P270" s="84" t="str"/>
      <x:c r="Q270" s="84" t="str"/>
      <x:c r="R270" s="84" t="str"/>
      <x:c r="S270" s="84" t="str"/>
      <x:c r="T270" s="84" t="str"/>
    </x:row>
    <x:row r="271" ht="44" customHeight="1">
      <x:c r="A271" s="83" t="str">
        <x:v>NFR-008</x:v>
      </x:c>
      <x:c r="B271" s="84" t="str">
        <x:v>Nonfunctional and Quality Requirements</x:v>
      </x:c>
      <x:c r="C271" s="84" t="str">
        <x:v>Browser support</x:v>
      </x:c>
      <x:c r="D271" s="84" t="str">
        <x:v>The solution shall support the enterprise-approved versions of Microsoft Edge and other designated browsers, with a published compatibility and deprecation policy.</x:v>
      </x:c>
      <x:c r="E271" s="85" t="str">
        <x:v>Must</x:v>
      </x:c>
      <x:c r="F271" s="85" t="str">
        <x:v>1</x:v>
      </x:c>
      <x:c r="G271" s="85" t="str">
        <x:v>Configure</x:v>
      </x:c>
      <x:c r="H271" s="84" t="str">
        <x:v>Nonfunctional and Quality Requirements</x:v>
      </x:c>
      <x:c r="I271" s="84" t="str">
        <x:v>Service Owner</x:v>
      </x:c>
      <x:c r="J271" s="85" t="str">
        <x:v>Demonstration</x:v>
      </x:c>
      <x:c r="K271" s="85" t="str">
        <x:v>Proposed</x:v>
      </x:c>
      <x:c r="L271" s="84" t="str"/>
      <x:c r="M271" s="84" t="str"/>
      <x:c r="N271" s="84" t="str"/>
      <x:c r="O271" s="84" t="str"/>
      <x:c r="P271" s="84" t="str"/>
      <x:c r="Q271" s="84" t="str"/>
      <x:c r="R271" s="84" t="str"/>
      <x:c r="S271" s="84" t="str"/>
      <x:c r="T271" s="84" t="str"/>
    </x:row>
    <x:row r="272" ht="44" customHeight="1">
      <x:c r="A272" s="83" t="str">
        <x:v>NFR-009</x:v>
      </x:c>
      <x:c r="B272" s="84" t="str">
        <x:v>Nonfunctional and Quality Requirements</x:v>
      </x:c>
      <x:c r="C272" s="84" t="str">
        <x:v>Reliability</x:v>
      </x:c>
      <x:c r="D272" s="84" t="str">
        <x:v>Business transactions shall be atomic or recoverable, and retries shall not create duplicate demands, approvals, projects, assignments, actuals, or notifications.</x:v>
      </x:c>
      <x:c r="E272" s="85" t="str">
        <x:v>Must</x:v>
      </x:c>
      <x:c r="F272" s="85" t="str">
        <x:v>1</x:v>
      </x:c>
      <x:c r="G272" s="85" t="str">
        <x:v>Configure</x:v>
      </x:c>
      <x:c r="H272" s="84" t="str">
        <x:v>Nonfunctional and Quality Requirements</x:v>
      </x:c>
      <x:c r="I272" s="84" t="str">
        <x:v>Solution Architect</x:v>
      </x:c>
      <x:c r="J272" s="85" t="str">
        <x:v>Resilience test</x:v>
      </x:c>
      <x:c r="K272" s="85" t="str">
        <x:v>Proposed</x:v>
      </x:c>
      <x:c r="L272" s="84" t="str"/>
      <x:c r="M272" s="84" t="str"/>
      <x:c r="N272" s="84" t="str"/>
      <x:c r="O272" s="84" t="str"/>
      <x:c r="P272" s="84" t="str"/>
      <x:c r="Q272" s="84" t="str"/>
      <x:c r="R272" s="84" t="str"/>
      <x:c r="S272" s="84" t="str"/>
      <x:c r="T272" s="84" t="str"/>
    </x:row>
    <x:row r="273" ht="44" customHeight="1">
      <x:c r="A273" s="83" t="str">
        <x:v>NFR-010</x:v>
      </x:c>
      <x:c r="B273" s="84" t="str">
        <x:v>Nonfunctional and Quality Requirements</x:v>
      </x:c>
      <x:c r="C273" s="84" t="str">
        <x:v>Recovery objectives</x:v>
      </x:c>
      <x:c r="D273" s="84" t="str">
        <x:v>The service shall meet approved recovery time and recovery point objectives established by mission impact analysis and verified through periodic recovery exercises.</x:v>
      </x:c>
      <x:c r="E273" s="85" t="str">
        <x:v>Must</x:v>
      </x:c>
      <x:c r="F273" s="85" t="str">
        <x:v>1</x:v>
      </x:c>
      <x:c r="G273" s="85" t="str">
        <x:v>Configure</x:v>
      </x:c>
      <x:c r="H273" s="84" t="str">
        <x:v>Nonfunctional and Quality Requirements</x:v>
      </x:c>
      <x:c r="I273" s="84" t="str">
        <x:v>Service Owner</x:v>
      </x:c>
      <x:c r="J273" s="85" t="str">
        <x:v>Recovery exercise</x:v>
      </x:c>
      <x:c r="K273" s="85" t="str">
        <x:v>Proposed</x:v>
      </x:c>
      <x:c r="L273" s="84" t="str"/>
      <x:c r="M273" s="84" t="str"/>
      <x:c r="N273" s="84" t="str"/>
      <x:c r="O273" s="84" t="str"/>
      <x:c r="P273" s="84" t="str"/>
      <x:c r="Q273" s="84" t="str"/>
      <x:c r="R273" s="84" t="str"/>
      <x:c r="S273" s="84" t="str"/>
      <x:c r="T273" s="84" t="str"/>
    </x:row>
    <x:row r="274" ht="44" customHeight="1">
      <x:c r="A274" s="83" t="str">
        <x:v>NFR-011</x:v>
      </x:c>
      <x:c r="B274" s="84" t="str">
        <x:v>Nonfunctional and Quality Requirements</x:v>
      </x:c>
      <x:c r="C274" s="84" t="str">
        <x:v>Observability</x:v>
      </x:c>
      <x:c r="D274" s="84" t="str">
        <x:v>Operations staff shall have metrics, logs, traces, health checks, alerting, and runbooks sufficient to detect and diagnose service, workflow, data, and integration failures.</x:v>
      </x:c>
      <x:c r="E274" s="85" t="str">
        <x:v>Must</x:v>
      </x:c>
      <x:c r="F274" s="85" t="str">
        <x:v>1</x:v>
      </x:c>
      <x:c r="G274" s="85" t="str">
        <x:v>Configure</x:v>
      </x:c>
      <x:c r="H274" s="84" t="str">
        <x:v>Nonfunctional and Quality Requirements</x:v>
      </x:c>
      <x:c r="I274" s="84" t="str">
        <x:v>Service Owner</x:v>
      </x:c>
      <x:c r="J274" s="85" t="str">
        <x:v>Demonstration</x:v>
      </x:c>
      <x:c r="K274" s="85" t="str">
        <x:v>Proposed</x:v>
      </x:c>
      <x:c r="L274" s="84" t="str"/>
      <x:c r="M274" s="84" t="str"/>
      <x:c r="N274" s="84" t="str"/>
      <x:c r="O274" s="84" t="str"/>
      <x:c r="P274" s="84" t="str"/>
      <x:c r="Q274" s="84" t="str"/>
      <x:c r="R274" s="84" t="str"/>
      <x:c r="S274" s="84" t="str"/>
      <x:c r="T274" s="84" t="str"/>
    </x:row>
    <x:row r="275" ht="44" customHeight="1">
      <x:c r="A275" s="83" t="str">
        <x:v>NFR-012</x:v>
      </x:c>
      <x:c r="B275" s="84" t="str">
        <x:v>Nonfunctional and Quality Requirements</x:v>
      </x:c>
      <x:c r="C275" s="84" t="str">
        <x:v>Maintainability</x:v>
      </x:c>
      <x:c r="D275" s="84" t="str">
        <x:v>Configuration, integrations, calculations, templates, and extensions shall be documented, version controlled, testable, and designed to minimize unsupported customization.</x:v>
      </x:c>
      <x:c r="E275" s="85" t="str">
        <x:v>Must</x:v>
      </x:c>
      <x:c r="F275" s="85" t="str">
        <x:v>1</x:v>
      </x:c>
      <x:c r="G275" s="85" t="str">
        <x:v>Configure</x:v>
      </x:c>
      <x:c r="H275" s="84" t="str">
        <x:v>Nonfunctional and Quality Requirements</x:v>
      </x:c>
      <x:c r="I275" s="84" t="str">
        <x:v>Solution Architect</x:v>
      </x:c>
      <x:c r="J275" s="85" t="str">
        <x:v>Demonstration</x:v>
      </x:c>
      <x:c r="K275" s="85" t="str">
        <x:v>Proposed</x:v>
      </x:c>
      <x:c r="L275" s="84" t="str"/>
      <x:c r="M275" s="84" t="str"/>
      <x:c r="N275" s="84" t="str"/>
      <x:c r="O275" s="84" t="str"/>
      <x:c r="P275" s="84" t="str"/>
      <x:c r="Q275" s="84" t="str"/>
      <x:c r="R275" s="84" t="str"/>
      <x:c r="S275" s="84" t="str"/>
      <x:c r="T275" s="84" t="str"/>
    </x:row>
    <x:row r="276" ht="44" customHeight="1">
      <x:c r="A276" s="83" t="str">
        <x:v>NFR-013</x:v>
      </x:c>
      <x:c r="B276" s="84" t="str">
        <x:v>Nonfunctional and Quality Requirements</x:v>
      </x:c>
      <x:c r="C276" s="84" t="str">
        <x:v>Upgradeability</x:v>
      </x:c>
      <x:c r="D276" s="84" t="str">
        <x:v>The solution shall preserve required functionality through vendor upgrades using automated regression testing and a documented review of deprecated features and custom extensions.</x:v>
      </x:c>
      <x:c r="E276" s="85" t="str">
        <x:v>Must</x:v>
      </x:c>
      <x:c r="F276" s="85" t="str">
        <x:v>1</x:v>
      </x:c>
      <x:c r="G276" s="85" t="str">
        <x:v>Configure</x:v>
      </x:c>
      <x:c r="H276" s="84" t="str">
        <x:v>Nonfunctional and Quality Requirements</x:v>
      </x:c>
      <x:c r="I276" s="84" t="str">
        <x:v>Service Owner</x:v>
      </x:c>
      <x:c r="J276" s="85" t="str">
        <x:v>Demonstration</x:v>
      </x:c>
      <x:c r="K276" s="85" t="str">
        <x:v>Proposed</x:v>
      </x:c>
      <x:c r="L276" s="84" t="str"/>
      <x:c r="M276" s="84" t="str"/>
      <x:c r="N276" s="84" t="str"/>
      <x:c r="O276" s="84" t="str"/>
      <x:c r="P276" s="84" t="str"/>
      <x:c r="Q276" s="84" t="str"/>
      <x:c r="R276" s="84" t="str"/>
      <x:c r="S276" s="84" t="str"/>
      <x:c r="T276" s="84" t="str"/>
    </x:row>
    <x:row r="277" ht="44" customHeight="1">
      <x:c r="A277" s="83" t="str">
        <x:v>NFR-014</x:v>
      </x:c>
      <x:c r="B277" s="84" t="str">
        <x:v>Nonfunctional and Quality Requirements</x:v>
      </x:c>
      <x:c r="C277" s="84" t="str">
        <x:v>Interoperability</x:v>
      </x:c>
      <x:c r="D277" s="84" t="str">
        <x:v>Interfaces shall use approved open or well-documented standards and shall avoid unnecessary proprietary coupling between the portfolio platform and ProjectOS.</x:v>
      </x:c>
      <x:c r="E277" s="85" t="str">
        <x:v>Must</x:v>
      </x:c>
      <x:c r="F277" s="85" t="str">
        <x:v>1</x:v>
      </x:c>
      <x:c r="G277" s="85" t="str">
        <x:v>Configure</x:v>
      </x:c>
      <x:c r="H277" s="84" t="str">
        <x:v>Nonfunctional and Quality Requirements</x:v>
      </x:c>
      <x:c r="I277" s="84" t="str">
        <x:v>Enterprise Architect</x:v>
      </x:c>
      <x:c r="J277" s="85" t="str">
        <x:v>Demonstration</x:v>
      </x:c>
      <x:c r="K277" s="85" t="str">
        <x:v>Proposed</x:v>
      </x:c>
      <x:c r="L277" s="84" t="str"/>
      <x:c r="M277" s="84" t="str"/>
      <x:c r="N277" s="84" t="str"/>
      <x:c r="O277" s="84" t="str"/>
      <x:c r="P277" s="84" t="str"/>
      <x:c r="Q277" s="84" t="str"/>
      <x:c r="R277" s="84" t="str"/>
      <x:c r="S277" s="84" t="str"/>
      <x:c r="T277" s="84" t="str"/>
    </x:row>
    <x:row r="278" ht="44" customHeight="1">
      <x:c r="A278" s="83" t="str">
        <x:v>NFR-015</x:v>
      </x:c>
      <x:c r="B278" s="84" t="str">
        <x:v>Nonfunctional and Quality Requirements</x:v>
      </x:c>
      <x:c r="C278" s="84" t="str">
        <x:v>Data portability</x:v>
      </x:c>
      <x:c r="D278" s="84" t="str">
        <x:v>Authorized administrators shall export complete business records, relationships, attachments metadata, history, and configuration in documented machine-readable formats for continuity and transition.</x:v>
      </x:c>
      <x:c r="E278" s="85" t="str">
        <x:v>Must</x:v>
      </x:c>
      <x:c r="F278" s="85" t="str">
        <x:v>1</x:v>
      </x:c>
      <x:c r="G278" s="85" t="str">
        <x:v>Configure</x:v>
      </x:c>
      <x:c r="H278" s="84" t="str">
        <x:v>Nonfunctional and Quality Requirements</x:v>
      </x:c>
      <x:c r="I278" s="84" t="str">
        <x:v>Data Steward</x:v>
      </x:c>
      <x:c r="J278" s="85" t="str">
        <x:v>Demonstration</x:v>
      </x:c>
      <x:c r="K278" s="85" t="str">
        <x:v>Proposed</x:v>
      </x:c>
      <x:c r="L278" s="84" t="str"/>
      <x:c r="M278" s="84" t="str"/>
      <x:c r="N278" s="84" t="str"/>
      <x:c r="O278" s="84" t="str"/>
      <x:c r="P278" s="84" t="str"/>
      <x:c r="Q278" s="84" t="str"/>
      <x:c r="R278" s="84" t="str"/>
      <x:c r="S278" s="84" t="str"/>
      <x:c r="T278" s="84" t="str"/>
    </x:row>
    <x:row r="279" ht="44" customHeight="1">
      <x:c r="A279" s="83" t="str">
        <x:v>NFR-016</x:v>
      </x:c>
      <x:c r="B279" s="84" t="str">
        <x:v>Nonfunctional and Quality Requirements</x:v>
      </x:c>
      <x:c r="C279" s="84" t="str">
        <x:v>Localization and time</x:v>
      </x:c>
      <x:c r="D279" s="84" t="str">
        <x:v>The platform shall store timestamps consistently, display the user's authorized time zone, support fiscal calendars, and avoid ambiguity in date formats and deadline calculations.</x:v>
      </x:c>
      <x:c r="E279" s="85" t="str">
        <x:v>Must</x:v>
      </x:c>
      <x:c r="F279" s="85" t="str">
        <x:v>1</x:v>
      </x:c>
      <x:c r="G279" s="85" t="str">
        <x:v>Configure</x:v>
      </x:c>
      <x:c r="H279" s="84" t="str">
        <x:v>Nonfunctional and Quality Requirements</x:v>
      </x:c>
      <x:c r="I279" s="84" t="str">
        <x:v>Data Steward</x:v>
      </x:c>
      <x:c r="J279" s="85" t="str">
        <x:v>Demonstration</x:v>
      </x:c>
      <x:c r="K279" s="85" t="str">
        <x:v>Proposed</x:v>
      </x:c>
      <x:c r="L279" s="84" t="str"/>
      <x:c r="M279" s="84" t="str"/>
      <x:c r="N279" s="84" t="str"/>
      <x:c r="O279" s="84" t="str"/>
      <x:c r="P279" s="84" t="str"/>
      <x:c r="Q279" s="84" t="str"/>
      <x:c r="R279" s="84" t="str"/>
      <x:c r="S279" s="84" t="str"/>
      <x:c r="T279" s="84" t="str"/>
    </x:row>
    <x:row r="280" ht="44" customHeight="1">
      <x:c r="A280" s="83" t="str">
        <x:v>NFR-017</x:v>
      </x:c>
      <x:c r="B280" s="84" t="str">
        <x:v>Nonfunctional and Quality Requirements</x:v>
      </x:c>
      <x:c r="C280" s="84" t="str">
        <x:v>Supportability</x:v>
      </x:c>
      <x:c r="D280" s="84" t="str">
        <x:v>The operating model shall define service desk tiers, incident and problem processes, request fulfillment, knowledge articles, maintenance communications, and service-level reporting.</x:v>
      </x:c>
      <x:c r="E280" s="85" t="str">
        <x:v>Must</x:v>
      </x:c>
      <x:c r="F280" s="85" t="str">
        <x:v>1</x:v>
      </x:c>
      <x:c r="G280" s="85" t="str">
        <x:v>Configure</x:v>
      </x:c>
      <x:c r="H280" s="84" t="str">
        <x:v>Nonfunctional and Quality Requirements</x:v>
      </x:c>
      <x:c r="I280" s="84" t="str">
        <x:v>Service Owner</x:v>
      </x:c>
      <x:c r="J280" s="85" t="str">
        <x:v>Demonstration</x:v>
      </x:c>
      <x:c r="K280" s="85" t="str">
        <x:v>Proposed</x:v>
      </x:c>
      <x:c r="L280" s="84" t="str"/>
      <x:c r="M280" s="84" t="str"/>
      <x:c r="N280" s="84" t="str"/>
      <x:c r="O280" s="84" t="str"/>
      <x:c r="P280" s="84" t="str"/>
      <x:c r="Q280" s="84" t="str"/>
      <x:c r="R280" s="84" t="str"/>
      <x:c r="S280" s="84" t="str"/>
      <x:c r="T280" s="84" t="str"/>
    </x:row>
    <x:row r="281" ht="44" customHeight="1">
      <x:c r="A281" s="83" t="str">
        <x:v>ADM-001</x:v>
      </x:c>
      <x:c r="B281" s="84" t="str">
        <x:v>Administration, Configuration, and Data Quality</x:v>
      </x:c>
      <x:c r="C281" s="84" t="str">
        <x:v>Low-code configuration</x:v>
      </x:c>
      <x:c r="D281" s="84" t="str">
        <x:v>Authorized administrators shall configure forms, fields, reference values, workflows, scoring models, thresholds, dashboards, and notifications using governed low-code or no-code capabilities where practical.</x:v>
      </x:c>
      <x:c r="E281" s="85" t="str">
        <x:v>Must</x:v>
      </x:c>
      <x:c r="F281" s="85" t="str">
        <x:v>1</x:v>
      </x:c>
      <x:c r="G281" s="85" t="str">
        <x:v>Likely OOTB</x:v>
      </x:c>
      <x:c r="H281" s="84" t="str">
        <x:v>Administration, Configuration, and Data Quality</x:v>
      </x:c>
      <x:c r="I281" s="84" t="str">
        <x:v>Platform Owner</x:v>
      </x:c>
      <x:c r="J281" s="85" t="str">
        <x:v>Demonstration</x:v>
      </x:c>
      <x:c r="K281" s="85" t="str">
        <x:v>Proposed</x:v>
      </x:c>
      <x:c r="L281" s="84" t="str"/>
      <x:c r="M281" s="84" t="str"/>
      <x:c r="N281" s="84" t="str"/>
      <x:c r="O281" s="84" t="str"/>
      <x:c r="P281" s="84" t="str"/>
      <x:c r="Q281" s="84" t="str"/>
      <x:c r="R281" s="84" t="str"/>
      <x:c r="S281" s="84" t="str"/>
      <x:c r="T281" s="84" t="str"/>
    </x:row>
    <x:row r="282" ht="44" customHeight="1">
      <x:c r="A282" s="83" t="str">
        <x:v>ADM-002</x:v>
      </x:c>
      <x:c r="B282" s="84" t="str">
        <x:v>Administration, Configuration, and Data Quality</x:v>
      </x:c>
      <x:c r="C282" s="84" t="str">
        <x:v>Configuration promotion</x:v>
      </x:c>
      <x:c r="D282" s="84" t="str">
        <x:v>Configuration changes shall move through development, test, and production environments using documented release, testing, approval, and rollback controls.</x:v>
      </x:c>
      <x:c r="E282" s="85" t="str">
        <x:v>Must</x:v>
      </x:c>
      <x:c r="F282" s="85" t="str">
        <x:v>1</x:v>
      </x:c>
      <x:c r="G282" s="85" t="str">
        <x:v>Configure</x:v>
      </x:c>
      <x:c r="H282" s="84" t="str">
        <x:v>Administration, Configuration, and Data Quality</x:v>
      </x:c>
      <x:c r="I282" s="84" t="str">
        <x:v>Platform Owner</x:v>
      </x:c>
      <x:c r="J282" s="85" t="str">
        <x:v>Demonstration</x:v>
      </x:c>
      <x:c r="K282" s="85" t="str">
        <x:v>Proposed</x:v>
      </x:c>
      <x:c r="L282" s="84" t="str"/>
      <x:c r="M282" s="84" t="str"/>
      <x:c r="N282" s="84" t="str"/>
      <x:c r="O282" s="84" t="str"/>
      <x:c r="P282" s="84" t="str"/>
      <x:c r="Q282" s="84" t="str"/>
      <x:c r="R282" s="84" t="str"/>
      <x:c r="S282" s="84" t="str"/>
      <x:c r="T282" s="84" t="str"/>
    </x:row>
    <x:row r="283" ht="44" customHeight="1">
      <x:c r="A283" s="83" t="str">
        <x:v>ADM-003</x:v>
      </x:c>
      <x:c r="B283" s="84" t="str">
        <x:v>Administration, Configuration, and Data Quality</x:v>
      </x:c>
      <x:c r="C283" s="84" t="str">
        <x:v>Reference-data stewardship</x:v>
      </x:c>
      <x:c r="D283" s="84" t="str">
        <x:v>Named data stewards shall manage controlled vocabularies, hierarchies, aliases, effective dates, and retirement of reference values.</x:v>
      </x:c>
      <x:c r="E283" s="85" t="str">
        <x:v>Must</x:v>
      </x:c>
      <x:c r="F283" s="85" t="str">
        <x:v>1</x:v>
      </x:c>
      <x:c r="G283" s="85" t="str">
        <x:v>Configure</x:v>
      </x:c>
      <x:c r="H283" s="84" t="str">
        <x:v>Administration, Configuration, and Data Quality</x:v>
      </x:c>
      <x:c r="I283" s="84" t="str">
        <x:v>Data Steward</x:v>
      </x:c>
      <x:c r="J283" s="85" t="str">
        <x:v>Demonstration</x:v>
      </x:c>
      <x:c r="K283" s="85" t="str">
        <x:v>Proposed</x:v>
      </x:c>
      <x:c r="L283" s="84" t="str"/>
      <x:c r="M283" s="84" t="str"/>
      <x:c r="N283" s="84" t="str"/>
      <x:c r="O283" s="84" t="str"/>
      <x:c r="P283" s="84" t="str"/>
      <x:c r="Q283" s="84" t="str"/>
      <x:c r="R283" s="84" t="str"/>
      <x:c r="S283" s="84" t="str"/>
      <x:c r="T283" s="84" t="str"/>
    </x:row>
    <x:row r="284" ht="44" customHeight="1">
      <x:c r="A284" s="83" t="str">
        <x:v>ADM-004</x:v>
      </x:c>
      <x:c r="B284" s="84" t="str">
        <x:v>Administration, Configuration, and Data Quality</x:v>
      </x:c>
      <x:c r="C284" s="84" t="str">
        <x:v>Required-field quality</x:v>
      </x:c>
      <x:c r="D284" s="84" t="str">
        <x:v>The platform shall enforce completeness, format, range, relationship, and business-rule validation at entry, import, integration, and approval points.</x:v>
      </x:c>
      <x:c r="E284" s="85" t="str">
        <x:v>Must</x:v>
      </x:c>
      <x:c r="F284" s="85" t="str">
        <x:v>1</x:v>
      </x:c>
      <x:c r="G284" s="85" t="str">
        <x:v>Configure</x:v>
      </x:c>
      <x:c r="H284" s="84" t="str">
        <x:v>Administration, Configuration, and Data Quality</x:v>
      </x:c>
      <x:c r="I284" s="84" t="str">
        <x:v>Data Steward</x:v>
      </x:c>
      <x:c r="J284" s="85" t="str">
        <x:v>Demonstration</x:v>
      </x:c>
      <x:c r="K284" s="85" t="str">
        <x:v>Proposed</x:v>
      </x:c>
      <x:c r="L284" s="84" t="str"/>
      <x:c r="M284" s="84" t="str"/>
      <x:c r="N284" s="84" t="str"/>
      <x:c r="O284" s="84" t="str"/>
      <x:c r="P284" s="84" t="str"/>
      <x:c r="Q284" s="84" t="str"/>
      <x:c r="R284" s="84" t="str"/>
      <x:c r="S284" s="84" t="str"/>
      <x:c r="T284" s="84" t="str"/>
    </x:row>
    <x:row r="285" ht="44" customHeight="1">
      <x:c r="A285" s="83" t="str">
        <x:v>ADM-005</x:v>
      </x:c>
      <x:c r="B285" s="84" t="str">
        <x:v>Administration, Configuration, and Data Quality</x:v>
      </x:c>
      <x:c r="C285" s="84" t="str">
        <x:v>Data-quality dashboard</x:v>
      </x:c>
      <x:c r="D285" s="84" t="str">
        <x:v>Data stewards shall view completeness, validity, uniqueness, consistency, timeliness, reconciliation, and orphan-record measures by division and source.</x:v>
      </x:c>
      <x:c r="E285" s="85" t="str">
        <x:v>Must</x:v>
      </x:c>
      <x:c r="F285" s="85" t="str">
        <x:v>2</x:v>
      </x:c>
      <x:c r="G285" s="85" t="str">
        <x:v>Configure</x:v>
      </x:c>
      <x:c r="H285" s="84" t="str">
        <x:v>Administration, Configuration, and Data Quality</x:v>
      </x:c>
      <x:c r="I285" s="84" t="str">
        <x:v>Data Steward</x:v>
      </x:c>
      <x:c r="J285" s="85" t="str">
        <x:v>Demonstration</x:v>
      </x:c>
      <x:c r="K285" s="85" t="str">
        <x:v>Proposed</x:v>
      </x:c>
      <x:c r="L285" s="84" t="str"/>
      <x:c r="M285" s="84" t="str"/>
      <x:c r="N285" s="84" t="str"/>
      <x:c r="O285" s="84" t="str"/>
      <x:c r="P285" s="84" t="str"/>
      <x:c r="Q285" s="84" t="str"/>
      <x:c r="R285" s="84" t="str"/>
      <x:c r="S285" s="84" t="str"/>
      <x:c r="T285" s="84" t="str"/>
    </x:row>
    <x:row r="286" ht="44" customHeight="1">
      <x:c r="A286" s="83" t="str">
        <x:v>ADM-006</x:v>
      </x:c>
      <x:c r="B286" s="84" t="str">
        <x:v>Administration, Configuration, and Data Quality</x:v>
      </x:c>
      <x:c r="C286" s="84" t="str">
        <x:v>Stale-data control</x:v>
      </x:c>
      <x:c r="D286" s="84" t="str">
        <x:v>The platform shall flag stale project status, resource plans, costs, forecasts, assumptions, benefits, risks, and stakeholder commitments based on configurable currency rules.</x:v>
      </x:c>
      <x:c r="E286" s="85" t="str">
        <x:v>Must</x:v>
      </x:c>
      <x:c r="F286" s="85" t="str">
        <x:v>1</x:v>
      </x:c>
      <x:c r="G286" s="85" t="str">
        <x:v>Configure</x:v>
      </x:c>
      <x:c r="H286" s="84" t="str">
        <x:v>Administration, Configuration, and Data Quality</x:v>
      </x:c>
      <x:c r="I286" s="84" t="str">
        <x:v>Data Steward</x:v>
      </x:c>
      <x:c r="J286" s="85" t="str">
        <x:v>Demonstration</x:v>
      </x:c>
      <x:c r="K286" s="85" t="str">
        <x:v>Proposed</x:v>
      </x:c>
      <x:c r="L286" s="84" t="str"/>
      <x:c r="M286" s="84" t="str"/>
      <x:c r="N286" s="84" t="str"/>
      <x:c r="O286" s="84" t="str"/>
      <x:c r="P286" s="84" t="str"/>
      <x:c r="Q286" s="84" t="str"/>
      <x:c r="R286" s="84" t="str"/>
      <x:c r="S286" s="84" t="str"/>
      <x:c r="T286" s="84" t="str"/>
    </x:row>
    <x:row r="287" ht="44" customHeight="1">
      <x:c r="A287" s="83" t="str">
        <x:v>ADM-007</x:v>
      </x:c>
      <x:c r="B287" s="84" t="str">
        <x:v>Administration, Configuration, and Data Quality</x:v>
      </x:c>
      <x:c r="C287" s="84" t="str">
        <x:v>Duplicate and merge</x:v>
      </x:c>
      <x:c r="D287" s="84" t="str">
        <x:v>Authorized stewards shall identify, review, merge, and unmerge duplicate records while preserving identifiers, relationships, history, and source lineage.</x:v>
      </x:c>
      <x:c r="E287" s="85" t="str">
        <x:v>Must</x:v>
      </x:c>
      <x:c r="F287" s="85" t="str">
        <x:v>2</x:v>
      </x:c>
      <x:c r="G287" s="85" t="str">
        <x:v>Extend</x:v>
      </x:c>
      <x:c r="H287" s="84" t="str">
        <x:v>Administration, Configuration, and Data Quality</x:v>
      </x:c>
      <x:c r="I287" s="84" t="str">
        <x:v>Data Steward</x:v>
      </x:c>
      <x:c r="J287" s="85" t="str">
        <x:v>Demonstration</x:v>
      </x:c>
      <x:c r="K287" s="85" t="str">
        <x:v>Proposed</x:v>
      </x:c>
      <x:c r="L287" s="84" t="str"/>
      <x:c r="M287" s="84" t="str"/>
      <x:c r="N287" s="84" t="str"/>
      <x:c r="O287" s="84" t="str"/>
      <x:c r="P287" s="84" t="str"/>
      <x:c r="Q287" s="84" t="str"/>
      <x:c r="R287" s="84" t="str"/>
      <x:c r="S287" s="84" t="str"/>
      <x:c r="T287" s="84" t="str"/>
    </x:row>
    <x:row r="288" ht="44" customHeight="1">
      <x:c r="A288" s="83" t="str">
        <x:v>ADM-008</x:v>
      </x:c>
      <x:c r="B288" s="84" t="str">
        <x:v>Administration, Configuration, and Data Quality</x:v>
      </x:c>
      <x:c r="C288" s="84" t="str">
        <x:v>Bulk administration</x:v>
      </x:c>
      <x:c r="D288" s="84" t="str">
        <x:v>Authorized administrators shall perform controlled bulk reassignment, status update, reference update, archive, and correction with preview, approval where required, and audit.</x:v>
      </x:c>
      <x:c r="E288" s="85" t="str">
        <x:v>Must</x:v>
      </x:c>
      <x:c r="F288" s="85" t="str">
        <x:v>2</x:v>
      </x:c>
      <x:c r="G288" s="85" t="str">
        <x:v>Configure</x:v>
      </x:c>
      <x:c r="H288" s="84" t="str">
        <x:v>Administration, Configuration, and Data Quality</x:v>
      </x:c>
      <x:c r="I288" s="84" t="str">
        <x:v>Platform Owner</x:v>
      </x:c>
      <x:c r="J288" s="85" t="str">
        <x:v>Demonstration</x:v>
      </x:c>
      <x:c r="K288" s="85" t="str">
        <x:v>Proposed</x:v>
      </x:c>
      <x:c r="L288" s="84" t="str"/>
      <x:c r="M288" s="84" t="str"/>
      <x:c r="N288" s="84" t="str"/>
      <x:c r="O288" s="84" t="str"/>
      <x:c r="P288" s="84" t="str"/>
      <x:c r="Q288" s="84" t="str"/>
      <x:c r="R288" s="84" t="str"/>
      <x:c r="S288" s="84" t="str"/>
      <x:c r="T288" s="84" t="str"/>
    </x:row>
    <x:row r="289" ht="44" customHeight="1">
      <x:c r="A289" s="83" t="str">
        <x:v>ADM-009</x:v>
      </x:c>
      <x:c r="B289" s="84" t="str">
        <x:v>Administration, Configuration, and Data Quality</x:v>
      </x:c>
      <x:c r="C289" s="84" t="str">
        <x:v>Feature flags</x:v>
      </x:c>
      <x:c r="D289" s="84" t="str">
        <x:v>The platform shall support controlled activation of new modules, integrations, and workflow changes by environment, division, or pilot group.</x:v>
      </x:c>
      <x:c r="E289" s="85" t="str">
        <x:v>Must</x:v>
      </x:c>
      <x:c r="F289" s="85" t="str">
        <x:v>2</x:v>
      </x:c>
      <x:c r="G289" s="85" t="str">
        <x:v>Configure</x:v>
      </x:c>
      <x:c r="H289" s="84" t="str">
        <x:v>Administration, Configuration, and Data Quality</x:v>
      </x:c>
      <x:c r="I289" s="84" t="str">
        <x:v>Platform Owner</x:v>
      </x:c>
      <x:c r="J289" s="85" t="str">
        <x:v>Demonstration</x:v>
      </x:c>
      <x:c r="K289" s="85" t="str">
        <x:v>Proposed</x:v>
      </x:c>
      <x:c r="L289" s="84" t="str"/>
      <x:c r="M289" s="84" t="str"/>
      <x:c r="N289" s="84" t="str"/>
      <x:c r="O289" s="84" t="str"/>
      <x:c r="P289" s="84" t="str"/>
      <x:c r="Q289" s="84" t="str"/>
      <x:c r="R289" s="84" t="str"/>
      <x:c r="S289" s="84" t="str"/>
      <x:c r="T289" s="84" t="str"/>
    </x:row>
    <x:row r="290" ht="44" customHeight="1">
      <x:c r="A290" s="83" t="str">
        <x:v>ADM-010</x:v>
      </x:c>
      <x:c r="B290" s="84" t="str">
        <x:v>Administration, Configuration, and Data Quality</x:v>
      </x:c>
      <x:c r="C290" s="84" t="str">
        <x:v>Configuration inventory</x:v>
      </x:c>
      <x:c r="D290" s="84" t="str">
        <x:v>The service shall maintain an inventory of custom fields, workflows, scripts, integrations, reports, roles, and extensions with owner, purpose, version, and upgrade impact.</x:v>
      </x:c>
      <x:c r="E290" s="85" t="str">
        <x:v>Must</x:v>
      </x:c>
      <x:c r="F290" s="85" t="str">
        <x:v>1</x:v>
      </x:c>
      <x:c r="G290" s="85" t="str">
        <x:v>Configure</x:v>
      </x:c>
      <x:c r="H290" s="84" t="str">
        <x:v>Administration, Configuration, and Data Quality</x:v>
      </x:c>
      <x:c r="I290" s="84" t="str">
        <x:v>Platform Owner</x:v>
      </x:c>
      <x:c r="J290" s="85" t="str">
        <x:v>Demonstration</x:v>
      </x:c>
      <x:c r="K290" s="85" t="str">
        <x:v>Proposed</x:v>
      </x:c>
      <x:c r="L290" s="84" t="str"/>
      <x:c r="M290" s="84" t="str"/>
      <x:c r="N290" s="84" t="str"/>
      <x:c r="O290" s="84" t="str"/>
      <x:c r="P290" s="84" t="str"/>
      <x:c r="Q290" s="84" t="str"/>
      <x:c r="R290" s="84" t="str"/>
      <x:c r="S290" s="84" t="str"/>
      <x:c r="T290" s="84" t="str"/>
    </x:row>
    <x:row r="291" ht="44" customHeight="1">
      <x:c r="A291" s="83" t="str">
        <x:v>ADM-011</x:v>
      </x:c>
      <x:c r="B291" s="84" t="str">
        <x:v>Administration, Configuration, and Data Quality</x:v>
      </x:c>
      <x:c r="C291" s="84" t="str">
        <x:v>Usage analytics</x:v>
      </x:c>
      <x:c r="D291" s="84" t="str">
        <x:v>Administrators shall monitor adoption, active users, workflow completion, abandoned intake, dashboard use, notification volume, and help demand without exposing unnecessary personal monitoring data.</x:v>
      </x:c>
      <x:c r="E291" s="85" t="str">
        <x:v>Must</x:v>
      </x:c>
      <x:c r="F291" s="85" t="str">
        <x:v>2</x:v>
      </x:c>
      <x:c r="G291" s="85" t="str">
        <x:v>Configure</x:v>
      </x:c>
      <x:c r="H291" s="84" t="str">
        <x:v>Administration, Configuration, and Data Quality</x:v>
      </x:c>
      <x:c r="I291" s="84" t="str">
        <x:v>Product Owner</x:v>
      </x:c>
      <x:c r="J291" s="85" t="str">
        <x:v>Demonstration</x:v>
      </x:c>
      <x:c r="K291" s="85" t="str">
        <x:v>Proposed</x:v>
      </x:c>
      <x:c r="L291" s="84" t="str"/>
      <x:c r="M291" s="84" t="str"/>
      <x:c r="N291" s="84" t="str"/>
      <x:c r="O291" s="84" t="str"/>
      <x:c r="P291" s="84" t="str"/>
      <x:c r="Q291" s="84" t="str"/>
      <x:c r="R291" s="84" t="str"/>
      <x:c r="S291" s="84" t="str"/>
      <x:c r="T291" s="84" t="str"/>
    </x:row>
    <x:row r="292" ht="44" customHeight="1">
      <x:c r="A292" s="83" t="str">
        <x:v>ADM-012</x:v>
      </x:c>
      <x:c r="B292" s="84" t="str">
        <x:v>Administration, Configuration, and Data Quality</x:v>
      </x:c>
      <x:c r="C292" s="84" t="str">
        <x:v>Sandbox and training</x:v>
      </x:c>
      <x:c r="D292" s="84" t="str">
        <x:v>The service shall provide non-production environments and sanitized training data for configuration testing, user training, and integration validation.</x:v>
      </x:c>
      <x:c r="E292" s="85" t="str">
        <x:v>Must</x:v>
      </x:c>
      <x:c r="F292" s="85" t="str">
        <x:v>1</x:v>
      </x:c>
      <x:c r="G292" s="85" t="str">
        <x:v>Configure</x:v>
      </x:c>
      <x:c r="H292" s="84" t="str">
        <x:v>Administration, Configuration, and Data Quality</x:v>
      </x:c>
      <x:c r="I292" s="84" t="str">
        <x:v>Platform Owner</x:v>
      </x:c>
      <x:c r="J292" s="85" t="str">
        <x:v>Demonstration</x:v>
      </x:c>
      <x:c r="K292" s="85" t="str">
        <x:v>Proposed</x:v>
      </x:c>
      <x:c r="L292" s="84" t="str"/>
      <x:c r="M292" s="84" t="str"/>
      <x:c r="N292" s="84" t="str"/>
      <x:c r="O292" s="84" t="str"/>
      <x:c r="P292" s="84" t="str"/>
      <x:c r="Q292" s="84" t="str"/>
      <x:c r="R292" s="84" t="str"/>
      <x:c r="S292" s="84" t="str"/>
      <x:c r="T292" s="84" t="str"/>
    </x:row>
    <x:row r="293" ht="44" customHeight="1">
      <x:c r="A293" s="83" t="str">
        <x:v>ADM-013</x:v>
      </x:c>
      <x:c r="B293" s="84" t="str">
        <x:v>Administration, Configuration, and Data Quality</x:v>
      </x:c>
      <x:c r="C293" s="84" t="str">
        <x:v>Configurable business-object model</x:v>
      </x:c>
      <x:c r="D293" s="84" t="str">
        <x:v>Authorized administrators shall configure approved business-object types, fields, relationships, statuses, validation rules, and lifecycle behavior through governed configuration without unsupported source-code changes.</x:v>
      </x:c>
      <x:c r="E293" s="85" t="str">
        <x:v>Must</x:v>
      </x:c>
      <x:c r="F293" s="85" t="str">
        <x:v>2</x:v>
      </x:c>
      <x:c r="G293" s="85" t="str">
        <x:v>Extend</x:v>
      </x:c>
      <x:c r="H293" s="84" t="str">
        <x:v>Administration, Configuration, and Data Quality</x:v>
      </x:c>
      <x:c r="I293" s="84" t="str">
        <x:v>Platform Owner</x:v>
      </x:c>
      <x:c r="J293" s="85" t="str">
        <x:v>Demonstration</x:v>
      </x:c>
      <x:c r="K293" s="85" t="str">
        <x:v>Proposed</x:v>
      </x:c>
      <x:c r="L293" s="84" t="str"/>
      <x:c r="M293" s="84" t="str"/>
      <x:c r="N293" s="84" t="str"/>
      <x:c r="O293" s="84" t="str"/>
      <x:c r="P293" s="84" t="str"/>
      <x:c r="Q293" s="84" t="str"/>
      <x:c r="R293" s="84" t="str"/>
      <x:c r="S293" s="84" t="str"/>
      <x:c r="T293" s="84" t="str"/>
    </x:row>
    <x:row r="294" ht="44" customHeight="1">
      <x:c r="A294" s="83" t="str">
        <x:v>AI-001</x:v>
      </x:c>
      <x:c r="B294" s="84" t="str">
        <x:v>Responsible AI and Decision Support</x:v>
      </x:c>
      <x:c r="C294" s="84" t="str">
        <x:v>Optional decision support</x:v>
      </x:c>
      <x:c r="D294" s="84" t="str">
        <x:v>AI-enabled functions shall be optional decision support and shall not autonomously approve, reject, fund, cancel, or reassign mission work or resources.</x:v>
      </x:c>
      <x:c r="E294" s="85" t="str">
        <x:v>Must</x:v>
      </x:c>
      <x:c r="F294" s="85" t="str">
        <x:v>5</x:v>
      </x:c>
      <x:c r="G294" s="85" t="str">
        <x:v>Extend</x:v>
      </x:c>
      <x:c r="H294" s="84" t="str">
        <x:v>Responsible AI and Decision Support</x:v>
      </x:c>
      <x:c r="I294" s="84" t="str">
        <x:v>Responsible AI Lead</x:v>
      </x:c>
      <x:c r="J294" s="85" t="str">
        <x:v>Demonstration</x:v>
      </x:c>
      <x:c r="K294" s="85" t="str">
        <x:v>Proposed</x:v>
      </x:c>
      <x:c r="L294" s="84" t="str"/>
      <x:c r="M294" s="84" t="str"/>
      <x:c r="N294" s="84" t="str"/>
      <x:c r="O294" s="84" t="str"/>
      <x:c r="P294" s="84" t="str"/>
      <x:c r="Q294" s="84" t="str"/>
      <x:c r="R294" s="84" t="str"/>
      <x:c r="S294" s="84" t="str"/>
      <x:c r="T294" s="84" t="str"/>
    </x:row>
    <x:row r="295" ht="44" customHeight="1">
      <x:c r="A295" s="83" t="str">
        <x:v>AI-002</x:v>
      </x:c>
      <x:c r="B295" s="84" t="str">
        <x:v>Responsible AI and Decision Support</x:v>
      </x:c>
      <x:c r="C295" s="84" t="str">
        <x:v>Summarization</x:v>
      </x:c>
      <x:c r="D295" s="84" t="str">
        <x:v>Authorized users may generate draft summaries of demands, project status, risks, decisions, and portfolio changes, with source links and mandatory human review before publication.</x:v>
      </x:c>
      <x:c r="E295" s="85" t="str">
        <x:v>Must</x:v>
      </x:c>
      <x:c r="F295" s="85" t="str">
        <x:v>5</x:v>
      </x:c>
      <x:c r="G295" s="85" t="str">
        <x:v>Extend</x:v>
      </x:c>
      <x:c r="H295" s="84" t="str">
        <x:v>Responsible AI and Decision Support</x:v>
      </x:c>
      <x:c r="I295" s="84" t="str">
        <x:v>Product Owner</x:v>
      </x:c>
      <x:c r="J295" s="85" t="str">
        <x:v>Demonstration</x:v>
      </x:c>
      <x:c r="K295" s="85" t="str">
        <x:v>Proposed</x:v>
      </x:c>
      <x:c r="L295" s="84" t="str"/>
      <x:c r="M295" s="84" t="str"/>
      <x:c r="N295" s="84" t="str"/>
      <x:c r="O295" s="84" t="str"/>
      <x:c r="P295" s="84" t="str"/>
      <x:c r="Q295" s="84" t="str"/>
      <x:c r="R295" s="84" t="str"/>
      <x:c r="S295" s="84" t="str"/>
      <x:c r="T295" s="84" t="str"/>
    </x:row>
    <x:row r="296" ht="44" customHeight="1">
      <x:c r="A296" s="83" t="str">
        <x:v>AI-003</x:v>
      </x:c>
      <x:c r="B296" s="84" t="str">
        <x:v>Responsible AI and Decision Support</x:v>
      </x:c>
      <x:c r="C296" s="84" t="str">
        <x:v>Recommendation transparency</x:v>
      </x:c>
      <x:c r="D296" s="84" t="str">
        <x:v>AI recommendations shall identify the data used, material assumptions, confidence or limitations, and the rule or model version sufficient for an authorized reviewer to assess the recommendation.</x:v>
      </x:c>
      <x:c r="E296" s="85" t="str">
        <x:v>Must</x:v>
      </x:c>
      <x:c r="F296" s="85" t="str">
        <x:v>5</x:v>
      </x:c>
      <x:c r="G296" s="85" t="str">
        <x:v>Configure</x:v>
      </x:c>
      <x:c r="H296" s="84" t="str">
        <x:v>Responsible AI and Decision Support</x:v>
      </x:c>
      <x:c r="I296" s="84" t="str">
        <x:v>Responsible AI Lead</x:v>
      </x:c>
      <x:c r="J296" s="85" t="str">
        <x:v>Demonstration</x:v>
      </x:c>
      <x:c r="K296" s="85" t="str">
        <x:v>Proposed</x:v>
      </x:c>
      <x:c r="L296" s="84" t="str"/>
      <x:c r="M296" s="84" t="str"/>
      <x:c r="N296" s="84" t="str"/>
      <x:c r="O296" s="84" t="str"/>
      <x:c r="P296" s="84" t="str"/>
      <x:c r="Q296" s="84" t="str"/>
      <x:c r="R296" s="84" t="str"/>
      <x:c r="S296" s="84" t="str"/>
      <x:c r="T296" s="84" t="str"/>
    </x:row>
    <x:row r="297" ht="44" customHeight="1">
      <x:c r="A297" s="83" t="str">
        <x:v>AI-004</x:v>
      </x:c>
      <x:c r="B297" s="84" t="str">
        <x:v>Responsible AI and Decision Support</x:v>
      </x:c>
      <x:c r="C297" s="84" t="str">
        <x:v>No fabricated facts</x:v>
      </x:c>
      <x:c r="D297" s="84" t="str">
        <x:v>Generated portfolio narratives shall distinguish sourced facts, calculated values, analyst judgments, and generated suggestions and shall not insert unsupported mission, cost, resource, or performance claims.</x:v>
      </x:c>
      <x:c r="E297" s="85" t="str">
        <x:v>Must</x:v>
      </x:c>
      <x:c r="F297" s="85" t="str">
        <x:v>5</x:v>
      </x:c>
      <x:c r="G297" s="85" t="str">
        <x:v>Configure</x:v>
      </x:c>
      <x:c r="H297" s="84" t="str">
        <x:v>Responsible AI and Decision Support</x:v>
      </x:c>
      <x:c r="I297" s="84" t="str">
        <x:v>Responsible AI Lead</x:v>
      </x:c>
      <x:c r="J297" s="85" t="str">
        <x:v>Demonstration</x:v>
      </x:c>
      <x:c r="K297" s="85" t="str">
        <x:v>Proposed</x:v>
      </x:c>
      <x:c r="L297" s="84" t="str"/>
      <x:c r="M297" s="84" t="str"/>
      <x:c r="N297" s="84" t="str"/>
      <x:c r="O297" s="84" t="str"/>
      <x:c r="P297" s="84" t="str"/>
      <x:c r="Q297" s="84" t="str"/>
      <x:c r="R297" s="84" t="str"/>
      <x:c r="S297" s="84" t="str"/>
      <x:c r="T297" s="84" t="str"/>
    </x:row>
    <x:row r="298" ht="44" customHeight="1">
      <x:c r="A298" s="83" t="str">
        <x:v>AI-005</x:v>
      </x:c>
      <x:c r="B298" s="84" t="str">
        <x:v>Responsible AI and Decision Support</x:v>
      </x:c>
      <x:c r="C298" s="84" t="str">
        <x:v>Sensitive-data boundary</x:v>
      </x:c>
      <x:c r="D298" s="84" t="str">
        <x:v>AI processing shall occur only within approved environments and data boundaries, and prompts, outputs, embeddings, and logs shall inherit applicable access and retention controls.</x:v>
      </x:c>
      <x:c r="E298" s="85" t="str">
        <x:v>Must</x:v>
      </x:c>
      <x:c r="F298" s="85" t="str">
        <x:v>5</x:v>
      </x:c>
      <x:c r="G298" s="85" t="str">
        <x:v>Configure</x:v>
      </x:c>
      <x:c r="H298" s="84" t="str">
        <x:v>Responsible AI and Decision Support</x:v>
      </x:c>
      <x:c r="I298" s="84" t="str">
        <x:v>Security Manager</x:v>
      </x:c>
      <x:c r="J298" s="85" t="str">
        <x:v>Demonstration</x:v>
      </x:c>
      <x:c r="K298" s="85" t="str">
        <x:v>Proposed</x:v>
      </x:c>
      <x:c r="L298" s="84" t="str"/>
      <x:c r="M298" s="84" t="str"/>
      <x:c r="N298" s="84" t="str"/>
      <x:c r="O298" s="84" t="str"/>
      <x:c r="P298" s="84" t="str"/>
      <x:c r="Q298" s="84" t="str"/>
      <x:c r="R298" s="84" t="str"/>
      <x:c r="S298" s="84" t="str"/>
      <x:c r="T298" s="84" t="str"/>
    </x:row>
    <x:row r="299" ht="44" customHeight="1">
      <x:c r="A299" s="83" t="str">
        <x:v>AI-006</x:v>
      </x:c>
      <x:c r="B299" s="84" t="str">
        <x:v>Responsible AI and Decision Support</x:v>
      </x:c>
      <x:c r="C299" s="84" t="str">
        <x:v>Bias and quality evaluation</x:v>
      </x:c>
      <x:c r="D299" s="84" t="str">
        <x:v>AI models used for prioritization support, duplicate detection, forecasting, or recommendations shall be tested for accuracy, bias, drift, explainability, and mission-relevant failure modes.</x:v>
      </x:c>
      <x:c r="E299" s="85" t="str">
        <x:v>Must</x:v>
      </x:c>
      <x:c r="F299" s="85" t="str">
        <x:v>5</x:v>
      </x:c>
      <x:c r="G299" s="85" t="str">
        <x:v>Configure</x:v>
      </x:c>
      <x:c r="H299" s="84" t="str">
        <x:v>Responsible AI and Decision Support</x:v>
      </x:c>
      <x:c r="I299" s="84" t="str">
        <x:v>Responsible AI Lead</x:v>
      </x:c>
      <x:c r="J299" s="85" t="str">
        <x:v>Demonstration</x:v>
      </x:c>
      <x:c r="K299" s="85" t="str">
        <x:v>Proposed</x:v>
      </x:c>
      <x:c r="L299" s="84" t="str"/>
      <x:c r="M299" s="84" t="str"/>
      <x:c r="N299" s="84" t="str"/>
      <x:c r="O299" s="84" t="str"/>
      <x:c r="P299" s="84" t="str"/>
      <x:c r="Q299" s="84" t="str"/>
      <x:c r="R299" s="84" t="str"/>
      <x:c r="S299" s="84" t="str"/>
      <x:c r="T299" s="84" t="str"/>
    </x:row>
    <x:row r="300" ht="44" customHeight="1">
      <x:c r="A300" s="83" t="str">
        <x:v>AI-007</x:v>
      </x:c>
      <x:c r="B300" s="84" t="str">
        <x:v>Responsible AI and Decision Support</x:v>
      </x:c>
      <x:c r="C300" s="84" t="str">
        <x:v>Human feedback</x:v>
      </x:c>
      <x:c r="D300" s="84" t="str">
        <x:v>Users shall be able to accept, modify, or reject AI suggestions and provide structured feedback without overwriting the authoritative source data.</x:v>
      </x:c>
      <x:c r="E300" s="85" t="str">
        <x:v>Must</x:v>
      </x:c>
      <x:c r="F300" s="85" t="str">
        <x:v>5</x:v>
      </x:c>
      <x:c r="G300" s="85" t="str">
        <x:v>Configure</x:v>
      </x:c>
      <x:c r="H300" s="84" t="str">
        <x:v>Responsible AI and Decision Support</x:v>
      </x:c>
      <x:c r="I300" s="84" t="str">
        <x:v>Product Owner</x:v>
      </x:c>
      <x:c r="J300" s="85" t="str">
        <x:v>Demonstration</x:v>
      </x:c>
      <x:c r="K300" s="85" t="str">
        <x:v>Proposed</x:v>
      </x:c>
      <x:c r="L300" s="84" t="str"/>
      <x:c r="M300" s="84" t="str"/>
      <x:c r="N300" s="84" t="str"/>
      <x:c r="O300" s="84" t="str"/>
      <x:c r="P300" s="84" t="str"/>
      <x:c r="Q300" s="84" t="str"/>
      <x:c r="R300" s="84" t="str"/>
      <x:c r="S300" s="84" t="str"/>
      <x:c r="T300" s="84" t="str"/>
    </x:row>
    <x:row r="301" ht="44" customHeight="1">
      <x:c r="A301" s="83" t="str">
        <x:v>AI-008</x:v>
      </x:c>
      <x:c r="B301" s="84" t="str">
        <x:v>Responsible AI and Decision Support</x:v>
      </x:c>
      <x:c r="C301" s="84" t="str">
        <x:v>AI audit</x:v>
      </x:c>
      <x:c r="D301" s="84" t="str">
        <x:v>The platform shall log material AI-assisted outputs, model or service version, user, source records, disposition, and final human-approved content as required by policy.</x:v>
      </x:c>
      <x:c r="E301" s="85" t="str">
        <x:v>Must</x:v>
      </x:c>
      <x:c r="F301" s="85" t="str">
        <x:v>5</x:v>
      </x:c>
      <x:c r="G301" s="85" t="str">
        <x:v>Configure</x:v>
      </x:c>
      <x:c r="H301" s="84" t="str">
        <x:v>Responsible AI and Decision Support</x:v>
      </x:c>
      <x:c r="I301" s="84" t="str">
        <x:v>Audit Manager</x:v>
      </x:c>
      <x:c r="J301" s="85" t="str">
        <x:v>Demonstration</x:v>
      </x:c>
      <x:c r="K301" s="85" t="str">
        <x:v>Proposed</x:v>
      </x:c>
      <x:c r="L301" s="84" t="str"/>
      <x:c r="M301" s="84" t="str"/>
      <x:c r="N301" s="84" t="str"/>
      <x:c r="O301" s="84" t="str"/>
      <x:c r="P301" s="84" t="str"/>
      <x:c r="Q301" s="84" t="str"/>
      <x:c r="R301" s="84" t="str"/>
      <x:c r="S301" s="84" t="str"/>
      <x:c r="T301" s="84" t="str"/>
    </x:row>
    <x:row r="302" ht="44" customHeight="1">
      <x:c r="A302" s="83" t="str">
        <x:v>IMP-001</x:v>
      </x:c>
      <x:c r="B302" s="84" t="str">
        <x:v>Implementation, Migration, Adoption, and Operations</x:v>
      </x:c>
      <x:c r="C302" s="84" t="str">
        <x:v>Phased delivery</x:v>
      </x:c>
      <x:c r="D302" s="84" t="str">
        <x:v>Implementation shall use phased releases that deliver usable business value while preserving the target enterprise data model and security architecture.</x:v>
      </x:c>
      <x:c r="E302" s="85" t="str">
        <x:v>Must</x:v>
      </x:c>
      <x:c r="F302" s="85" t="str">
        <x:v>1</x:v>
      </x:c>
      <x:c r="G302" s="85" t="str">
        <x:v>Policy/Process</x:v>
      </x:c>
      <x:c r="H302" s="84" t="str">
        <x:v>Implementation, Migration, Adoption, and Operations</x:v>
      </x:c>
      <x:c r="I302" s="84" t="str">
        <x:v>Program Manager</x:v>
      </x:c>
      <x:c r="J302" s="85" t="str">
        <x:v>Demonstration</x:v>
      </x:c>
      <x:c r="K302" s="85" t="str">
        <x:v>Proposed</x:v>
      </x:c>
      <x:c r="L302" s="84" t="str"/>
      <x:c r="M302" s="84" t="str"/>
      <x:c r="N302" s="84" t="str"/>
      <x:c r="O302" s="84" t="str"/>
      <x:c r="P302" s="84" t="str"/>
      <x:c r="Q302" s="84" t="str"/>
      <x:c r="R302" s="84" t="str"/>
      <x:c r="S302" s="84" t="str"/>
      <x:c r="T302" s="84" t="str"/>
    </x:row>
    <x:row r="303" ht="44" customHeight="1">
      <x:c r="A303" s="83" t="str">
        <x:v>IMP-002</x:v>
      </x:c>
      <x:c r="B303" s="84" t="str">
        <x:v>Implementation, Migration, Adoption, and Operations</x:v>
      </x:c>
      <x:c r="C303" s="84" t="str">
        <x:v>MVP scope</x:v>
      </x:c>
      <x:c r="D303" s="84" t="str">
        <x:v>The initial production release shall include governed organization and strategy data, demand intake and assessment, approval, project creation, basic ProjectOS roll-up, division and senior dashboards, Excel import and export, notifications, and audit.</x:v>
      </x:c>
      <x:c r="E303" s="85" t="str">
        <x:v>Must</x:v>
      </x:c>
      <x:c r="F303" s="85" t="str">
        <x:v>1</x:v>
      </x:c>
      <x:c r="G303" s="85" t="str">
        <x:v>Configure</x:v>
      </x:c>
      <x:c r="H303" s="84" t="str">
        <x:v>Implementation, Migration, Adoption, and Operations</x:v>
      </x:c>
      <x:c r="I303" s="84" t="str">
        <x:v>Product Owner</x:v>
      </x:c>
      <x:c r="J303" s="85" t="str">
        <x:v>Demonstration</x:v>
      </x:c>
      <x:c r="K303" s="85" t="str">
        <x:v>Proposed</x:v>
      </x:c>
      <x:c r="L303" s="84" t="str"/>
      <x:c r="M303" s="84" t="str"/>
      <x:c r="N303" s="84" t="str"/>
      <x:c r="O303" s="84" t="str"/>
      <x:c r="P303" s="84" t="str"/>
      <x:c r="Q303" s="84" t="str"/>
      <x:c r="R303" s="84" t="str"/>
      <x:c r="S303" s="84" t="str"/>
      <x:c r="T303" s="84" t="str"/>
    </x:row>
    <x:row r="304" ht="44" customHeight="1">
      <x:c r="A304" s="83" t="str">
        <x:v>IMP-003</x:v>
      </x:c>
      <x:c r="B304" s="84" t="str">
        <x:v>Implementation, Migration, Adoption, and Operations</x:v>
      </x:c>
      <x:c r="C304" s="84" t="str">
        <x:v>Pilot divisions</x:v>
      </x:c>
      <x:c r="D304" s="84" t="str">
        <x:v>The program shall pilot with representative divisions and work types before enterprise rollout and shall document findings, configuration changes, and acceptance evidence.</x:v>
      </x:c>
      <x:c r="E304" s="85" t="str">
        <x:v>Must</x:v>
      </x:c>
      <x:c r="F304" s="85" t="str">
        <x:v>1</x:v>
      </x:c>
      <x:c r="G304" s="85" t="str">
        <x:v>Policy/Process</x:v>
      </x:c>
      <x:c r="H304" s="84" t="str">
        <x:v>Implementation, Migration, Adoption, and Operations</x:v>
      </x:c>
      <x:c r="I304" s="84" t="str">
        <x:v>Program Manager</x:v>
      </x:c>
      <x:c r="J304" s="85" t="str">
        <x:v>Demonstration</x:v>
      </x:c>
      <x:c r="K304" s="85" t="str">
        <x:v>Proposed</x:v>
      </x:c>
      <x:c r="L304" s="84" t="str"/>
      <x:c r="M304" s="84" t="str"/>
      <x:c r="N304" s="84" t="str"/>
      <x:c r="O304" s="84" t="str"/>
      <x:c r="P304" s="84" t="str"/>
      <x:c r="Q304" s="84" t="str"/>
      <x:c r="R304" s="84" t="str"/>
      <x:c r="S304" s="84" t="str"/>
      <x:c r="T304" s="84" t="str"/>
    </x:row>
    <x:row r="305" ht="44" customHeight="1">
      <x:c r="A305" s="83" t="str">
        <x:v>IMP-004</x:v>
      </x:c>
      <x:c r="B305" s="84" t="str">
        <x:v>Implementation, Migration, Adoption, and Operations</x:v>
      </x:c>
      <x:c r="C305" s="84" t="str">
        <x:v>Data migration</x:v>
      </x:c>
      <x:c r="D305" s="84" t="str">
        <x:v>The program shall define source inventory, ownership, cleansing, mapping, rehearsal, reconciliation, acceptance, cutover, archive, and rollback for legacy spreadsheets and project records.</x:v>
      </x:c>
      <x:c r="E305" s="85" t="str">
        <x:v>Must</x:v>
      </x:c>
      <x:c r="F305" s="85" t="str">
        <x:v>1</x:v>
      </x:c>
      <x:c r="G305" s="85" t="str">
        <x:v>Policy/Process</x:v>
      </x:c>
      <x:c r="H305" s="84" t="str">
        <x:v>Implementation, Migration, Adoption, and Operations</x:v>
      </x:c>
      <x:c r="I305" s="84" t="str">
        <x:v>Migration Lead</x:v>
      </x:c>
      <x:c r="J305" s="85" t="str">
        <x:v>Demonstration</x:v>
      </x:c>
      <x:c r="K305" s="85" t="str">
        <x:v>Proposed</x:v>
      </x:c>
      <x:c r="L305" s="84" t="str"/>
      <x:c r="M305" s="84" t="str"/>
      <x:c r="N305" s="84" t="str"/>
      <x:c r="O305" s="84" t="str"/>
      <x:c r="P305" s="84" t="str"/>
      <x:c r="Q305" s="84" t="str"/>
      <x:c r="R305" s="84" t="str"/>
      <x:c r="S305" s="84" t="str"/>
      <x:c r="T305" s="84" t="str"/>
    </x:row>
    <x:row r="306" ht="44" customHeight="1">
      <x:c r="A306" s="83" t="str">
        <x:v>IMP-005</x:v>
      </x:c>
      <x:c r="B306" s="84" t="str">
        <x:v>Implementation, Migration, Adoption, and Operations</x:v>
      </x:c>
      <x:c r="C306" s="84" t="str">
        <x:v>Training by role</x:v>
      </x:c>
      <x:c r="D306" s="84" t="str">
        <x:v>The program shall provide role-based training, job aids, office hours, sandbox exercises, and onboarding for senior leaders, portfolio staff, project teams, resource and financial managers, approvers, and administrators.</x:v>
      </x:c>
      <x:c r="E306" s="85" t="str">
        <x:v>Must</x:v>
      </x:c>
      <x:c r="F306" s="85" t="str">
        <x:v>1</x:v>
      </x:c>
      <x:c r="G306" s="85" t="str">
        <x:v>Policy/Process</x:v>
      </x:c>
      <x:c r="H306" s="84" t="str">
        <x:v>Implementation, Migration, Adoption, and Operations</x:v>
      </x:c>
      <x:c r="I306" s="84" t="str">
        <x:v>Training Lead</x:v>
      </x:c>
      <x:c r="J306" s="85" t="str">
        <x:v>Demonstration</x:v>
      </x:c>
      <x:c r="K306" s="85" t="str">
        <x:v>Proposed</x:v>
      </x:c>
      <x:c r="L306" s="84" t="str"/>
      <x:c r="M306" s="84" t="str"/>
      <x:c r="N306" s="84" t="str"/>
      <x:c r="O306" s="84" t="str"/>
      <x:c r="P306" s="84" t="str"/>
      <x:c r="Q306" s="84" t="str"/>
      <x:c r="R306" s="84" t="str"/>
      <x:c r="S306" s="84" t="str"/>
      <x:c r="T306" s="84" t="str"/>
    </x:row>
    <x:row r="307" ht="44" customHeight="1">
      <x:c r="A307" s="83" t="str">
        <x:v>IMP-006</x:v>
      </x:c>
      <x:c r="B307" s="84" t="str">
        <x:v>Implementation, Migration, Adoption, and Operations</x:v>
      </x:c>
      <x:c r="C307" s="84" t="str">
        <x:v>Change management</x:v>
      </x:c>
      <x:c r="D307" s="84" t="str">
        <x:v>The implementation shall maintain stakeholder analysis, communications, adoption measures, feedback channels, resistance management, champion networks, and leadership reinforcement.</x:v>
      </x:c>
      <x:c r="E307" s="85" t="str">
        <x:v>Must</x:v>
      </x:c>
      <x:c r="F307" s="85" t="str">
        <x:v>1</x:v>
      </x:c>
      <x:c r="G307" s="85" t="str">
        <x:v>Policy/Process</x:v>
      </x:c>
      <x:c r="H307" s="84" t="str">
        <x:v>Implementation, Migration, Adoption, and Operations</x:v>
      </x:c>
      <x:c r="I307" s="84" t="str">
        <x:v>Change Manager</x:v>
      </x:c>
      <x:c r="J307" s="85" t="str">
        <x:v>Demonstration</x:v>
      </x:c>
      <x:c r="K307" s="85" t="str">
        <x:v>Proposed</x:v>
      </x:c>
      <x:c r="L307" s="84" t="str"/>
      <x:c r="M307" s="84" t="str"/>
      <x:c r="N307" s="84" t="str"/>
      <x:c r="O307" s="84" t="str"/>
      <x:c r="P307" s="84" t="str"/>
      <x:c r="Q307" s="84" t="str"/>
      <x:c r="R307" s="84" t="str"/>
      <x:c r="S307" s="84" t="str"/>
      <x:c r="T307" s="84" t="str"/>
    </x:row>
    <x:row r="308" ht="44" customHeight="1">
      <x:c r="A308" s="83" t="str">
        <x:v>IMP-007</x:v>
      </x:c>
      <x:c r="B308" s="84" t="str">
        <x:v>Implementation, Migration, Adoption, and Operations</x:v>
      </x:c>
      <x:c r="C308" s="84" t="str">
        <x:v>Operational readiness</x:v>
      </x:c>
      <x:c r="D308" s="84" t="str">
        <x:v>Production release shall require approved service ownership, support model, runbooks, monitoring, continuity, security, data stewardship, release management, and known-issue disposition.</x:v>
      </x:c>
      <x:c r="E308" s="85" t="str">
        <x:v>Must</x:v>
      </x:c>
      <x:c r="F308" s="85" t="str">
        <x:v>1</x:v>
      </x:c>
      <x:c r="G308" s="85" t="str">
        <x:v>Policy/Process</x:v>
      </x:c>
      <x:c r="H308" s="84" t="str">
        <x:v>Implementation, Migration, Adoption, and Operations</x:v>
      </x:c>
      <x:c r="I308" s="84" t="str">
        <x:v>Service Owner</x:v>
      </x:c>
      <x:c r="J308" s="85" t="str">
        <x:v>Demonstration</x:v>
      </x:c>
      <x:c r="K308" s="85" t="str">
        <x:v>Proposed</x:v>
      </x:c>
      <x:c r="L308" s="84" t="str"/>
      <x:c r="M308" s="84" t="str"/>
      <x:c r="N308" s="84" t="str"/>
      <x:c r="O308" s="84" t="str"/>
      <x:c r="P308" s="84" t="str"/>
      <x:c r="Q308" s="84" t="str"/>
      <x:c r="R308" s="84" t="str"/>
      <x:c r="S308" s="84" t="str"/>
      <x:c r="T308" s="84" t="str"/>
    </x:row>
    <x:row r="309" ht="44" customHeight="1">
      <x:c r="A309" s="83" t="str">
        <x:v>IMP-008</x:v>
      </x:c>
      <x:c r="B309" s="84" t="str">
        <x:v>Implementation, Migration, Adoption, and Operations</x:v>
      </x:c>
      <x:c r="C309" s="84" t="str">
        <x:v>Benefits measurement</x:v>
      </x:c>
      <x:c r="D309" s="84" t="str">
        <x:v>The program shall baseline and measure cycle time, data quality, reporting effort, portfolio visibility, resource forecast accuracy, decision latency, delivery performance, and user adoption after rollout.</x:v>
      </x:c>
      <x:c r="E309" s="85" t="str">
        <x:v>Must</x:v>
      </x:c>
      <x:c r="F309" s="85" t="str">
        <x:v>1</x:v>
      </x:c>
      <x:c r="G309" s="85" t="str">
        <x:v>Configure</x:v>
      </x:c>
      <x:c r="H309" s="84" t="str">
        <x:v>Implementation, Migration, Adoption, and Operations</x:v>
      </x:c>
      <x:c r="I309" s="84" t="str">
        <x:v>Benefits Owner</x:v>
      </x:c>
      <x:c r="J309" s="85" t="str">
        <x:v>Demonstration</x:v>
      </x:c>
      <x:c r="K309" s="85" t="str">
        <x:v>Proposed</x:v>
      </x:c>
      <x:c r="L309" s="84" t="str"/>
      <x:c r="M309" s="84" t="str"/>
      <x:c r="N309" s="84" t="str"/>
      <x:c r="O309" s="84" t="str"/>
      <x:c r="P309" s="84" t="str"/>
      <x:c r="Q309" s="84" t="str"/>
      <x:c r="R309" s="84" t="str"/>
      <x:c r="S309" s="84" t="str"/>
      <x:c r="T309" s="84" t="str"/>
    </x:row>
    <x:row r="310" ht="44" customHeight="1">
      <x:c r="A310" s="83" t="str">
        <x:v>IMP-009</x:v>
      </x:c>
      <x:c r="B310" s="84" t="str">
        <x:v>Implementation, Migration, Adoption, and Operations</x:v>
      </x:c>
      <x:c r="C310" s="84" t="str">
        <x:v>ServiceNow fit-gap validation</x:v>
      </x:c>
      <x:c r="D310" s="84" t="str">
        <x:v>The implementation team shall validate every requirement against the licensed ServiceNow release and modules, classify it as out-of-box, configure, extend, integrate, process, or deferred, and obtain product-owner approval before build.</x:v>
      </x:c>
      <x:c r="E310" s="85" t="str">
        <x:v>Must</x:v>
      </x:c>
      <x:c r="F310" s="85" t="str">
        <x:v>1</x:v>
      </x:c>
      <x:c r="G310" s="85" t="str">
        <x:v>Policy/Process</x:v>
      </x:c>
      <x:c r="H310" s="84" t="str">
        <x:v>Implementation, Migration, Adoption, and Operations</x:v>
      </x:c>
      <x:c r="I310" s="84" t="str">
        <x:v>Solution Architect</x:v>
      </x:c>
      <x:c r="J310" s="85" t="str">
        <x:v>Demonstration</x:v>
      </x:c>
      <x:c r="K310" s="85" t="str">
        <x:v>Proposed</x:v>
      </x:c>
      <x:c r="L310" s="84" t="str"/>
      <x:c r="M310" s="84" t="str"/>
      <x:c r="N310" s="84" t="str"/>
      <x:c r="O310" s="84" t="str"/>
      <x:c r="P310" s="84" t="str"/>
      <x:c r="Q310" s="84" t="str"/>
      <x:c r="R310" s="84" t="str"/>
      <x:c r="S310" s="84" t="str"/>
      <x:c r="T310" s="84" t="str"/>
    </x:row>
    <x:row r="311" ht="44" customHeight="1">
      <x:c r="A311" s="83" t="str">
        <x:v>IMP-010</x:v>
      </x:c>
      <x:c r="B311" s="84" t="str">
        <x:v>Implementation, Migration, Adoption, and Operations</x:v>
      </x:c>
      <x:c r="C311" s="84" t="str">
        <x:v>Customization guardrail</x:v>
      </x:c>
      <x:c r="D311" s="84" t="str">
        <x:v>Custom development shall require documented business value, alternatives considered, lifecycle owner, security review, automated tests, upgrade impact, and retirement plan.</x:v>
      </x:c>
      <x:c r="E311" s="85" t="str">
        <x:v>Must</x:v>
      </x:c>
      <x:c r="F311" s="85" t="str">
        <x:v>1</x:v>
      </x:c>
      <x:c r="G311" s="85" t="str">
        <x:v>Policy/Process</x:v>
      </x:c>
      <x:c r="H311" s="84" t="str">
        <x:v>Implementation, Migration, Adoption, and Operations</x:v>
      </x:c>
      <x:c r="I311" s="84" t="str">
        <x:v>Architecture Review Board</x:v>
      </x:c>
      <x:c r="J311" s="85" t="str">
        <x:v>Demonstration</x:v>
      </x:c>
      <x:c r="K311" s="85" t="str">
        <x:v>Proposed</x:v>
      </x:c>
      <x:c r="L311" s="84" t="str"/>
      <x:c r="M311" s="84" t="str"/>
      <x:c r="N311" s="84" t="str"/>
      <x:c r="O311" s="84" t="str"/>
      <x:c r="P311" s="84" t="str"/>
      <x:c r="Q311" s="84" t="str"/>
      <x:c r="R311" s="84" t="str"/>
      <x:c r="S311" s="84" t="str"/>
      <x:c r="T311" s="84" t="str"/>
    </x:row>
    <x:row r="312" ht="44" customHeight="1">
      <x:c r="A312" s="83" t="str">
        <x:v>IMP-011</x:v>
      </x:c>
      <x:c r="B312" s="84" t="str">
        <x:v>Implementation, Migration, Adoption, and Operations</x:v>
      </x:c>
      <x:c r="C312" s="84" t="str">
        <x:v>Acceptance and traceability</x:v>
      </x:c>
      <x:c r="D312" s="84" t="str">
        <x:v>Each release shall trace approved requirements to design, configuration or code, test cases, defects, user acceptance, training, and production verification.</x:v>
      </x:c>
      <x:c r="E312" s="85" t="str">
        <x:v>Must</x:v>
      </x:c>
      <x:c r="F312" s="85" t="str">
        <x:v>1</x:v>
      </x:c>
      <x:c r="G312" s="85" t="str">
        <x:v>Policy/Process</x:v>
      </x:c>
      <x:c r="H312" s="84" t="str">
        <x:v>Implementation, Migration, Adoption, and Operations</x:v>
      </x:c>
      <x:c r="I312" s="84" t="str">
        <x:v>Test Lead</x:v>
      </x:c>
      <x:c r="J312" s="85" t="str">
        <x:v>Demonstration</x:v>
      </x:c>
      <x:c r="K312" s="85" t="str">
        <x:v>Proposed</x:v>
      </x:c>
      <x:c r="L312" s="84" t="str"/>
      <x:c r="M312" s="84" t="str"/>
      <x:c r="N312" s="84" t="str"/>
      <x:c r="O312" s="84" t="str"/>
      <x:c r="P312" s="84" t="str"/>
      <x:c r="Q312" s="84" t="str"/>
      <x:c r="R312" s="84" t="str"/>
      <x:c r="S312" s="84" t="str"/>
      <x:c r="T312" s="84" t="str"/>
    </x:row>
    <x:row r="313" ht="44" customHeight="1">
      <x:c r="A313" s="83" t="str">
        <x:v>IMP-012</x:v>
      </x:c>
      <x:c r="B313" s="84" t="str">
        <x:v>Implementation, Migration, Adoption, and Operations</x:v>
      </x:c>
      <x:c r="C313" s="84" t="str">
        <x:v>Continuous improvement</x:v>
      </x:c>
      <x:c r="D313" s="84" t="str">
        <x:v>The product team shall maintain a governed backlog, quarterly value review, user feedback process, performance analytics, and roadmap for iterative improvement.</x:v>
      </x:c>
      <x:c r="E313" s="85" t="str">
        <x:v>Must</x:v>
      </x:c>
      <x:c r="F313" s="85" t="str">
        <x:v>1</x:v>
      </x:c>
      <x:c r="G313" s="85" t="str">
        <x:v>Configure</x:v>
      </x:c>
      <x:c r="H313" s="84" t="str">
        <x:v>Implementation, Migration, Adoption, and Operations</x:v>
      </x:c>
      <x:c r="I313" s="84" t="str">
        <x:v>Product Owner</x:v>
      </x:c>
      <x:c r="J313" s="85" t="str">
        <x:v>Demonstration</x:v>
      </x:c>
      <x:c r="K313" s="85" t="str">
        <x:v>Proposed</x:v>
      </x:c>
      <x:c r="L313" s="84" t="str"/>
      <x:c r="M313" s="84" t="str"/>
      <x:c r="N313" s="84" t="str"/>
      <x:c r="O313" s="84" t="str"/>
      <x:c r="P313" s="84" t="str"/>
      <x:c r="Q313" s="84" t="str"/>
      <x:c r="R313" s="84" t="str"/>
      <x:c r="S313" s="84" t="str"/>
      <x:c r="T313" s="84" t="str"/>
    </x:row>
  </x:sheetData>
  <x:mergeCells>
    <x:mergeCell ref="A1:T1"/>
    <x:mergeCell ref="A2:T2"/>
    <x:mergeCell ref="A4:T4"/>
  </x:mergeCells>
  <x:conditionalFormatting sqref="E7:E313">
    <x:cfRule type="containsText" dxfId="1" priority="1" operator="containsText" text="Must"/>
  </x:conditionalFormatting>
  <x:conditionalFormatting sqref="G7:G313">
    <x:cfRule type="containsText" dxfId="2" priority="2" operator="containsText" text="Integrate"/>
    <x:cfRule type="containsText" dxfId="3" priority="3" operator="containsText" text="Extend"/>
  </x:conditionalFormatting>
  <x:conditionalFormatting sqref="K7:K313">
    <x:cfRule type="containsText" dxfId="4" priority="4" operator="containsText" text="Approved"/>
    <x:cfRule type="containsText" dxfId="5" priority="5" operator="containsText" text="Rejected"/>
  </x:conditionalFormatting>
  <x:dataValidations count="4">
    <x:dataValidation type="list" sqref="E7:E313">
      <x:formula1>"Must,Should,Could"</x:formula1>
    </x:dataValidation>
    <x:dataValidation type="list" sqref="F7:F313">
      <x:formula1>"1,2,3,4,5"</x:formula1>
    </x:dataValidation>
    <x:dataValidation type="list" sqref="G7:G313">
      <x:formula1>"Likely OOTB,Configure,Extend,Integrate,Policy/Process,Deferred"</x:formula1>
    </x:dataValidation>
    <x:dataValidation type="list" sqref="K7:K313">
      <x:formula1>"Proposed,Validated,Approved,Deferred,Rejected,Implemented,Verified"</x:formula1>
    </x:dataValidation>
  </x:dataValidations>
  <x:pageMargins left="0.7" right="0.7" top="0.75" bottom="0.75" header="0.3" footer="0.3"/>
  <x:tableParts count="1">
    <x:tablePart xmlns:r="http://schemas.openxmlformats.org/officeDocument/2006/relationships" r:id="R508242d836884c9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58" hidden="0" customWidth="1"/>
    <x:col min="4" max="4" width="28" hidden="0" customWidth="1"/>
    <x:col min="5" max="5" width="12" hidden="0" customWidth="1"/>
    <x:col min="6" max="6" width="12" hidden="0" customWidth="1"/>
    <x:col min="7" max="7" width="12" hidden="0" customWidth="1"/>
    <x:col min="8" max="8" width="12" hidden="0" customWidth="1"/>
  </x:cols>
  <x:sheetData>
    <x:row r="1" ht="34" customHeight="1">
      <x:c r="A1" s="43" t="str">
        <x:v>Demand Scoring, Decision Gates, and Lifecycle</x:v>
      </x:c>
      <x:c r="B1" s="43" t="str">
        <x:v>Demand Scoring, Decision Gates, and Lifecycle</x:v>
      </x:c>
      <x:c r="C1" s="43" t="str">
        <x:v>Demand Scoring, Decision Gates, and Lifecycle</x:v>
      </x:c>
      <x:c r="D1" s="43" t="str">
        <x:v>Demand Scoring, Decision Gates, and Lifecycle</x:v>
      </x:c>
      <x:c r="E1" s="43" t="str">
        <x:v>Demand Scoring, Decision Gates, and Lifecycle</x:v>
      </x:c>
      <x:c r="F1" s="43" t="str">
        <x:v>Demand Scoring, Decision Gates, and Lifecycle</x:v>
      </x:c>
      <x:c r="G1" s="43" t="str">
        <x:v>Demand Scoring, Decision Gates, and Lifecycle</x:v>
      </x:c>
      <x:c r="H1" s="43" t="str">
        <x:v>Demand Scoring, Decision Gates, and Lifecycle</x:v>
      </x:c>
    </x:row>
    <x:row r="2" ht="28" customHeight="1">
      <x:c r="A2" s="66" t="str">
        <x:v>Recommended starting baseline. DDC5I must calibrate weights and approval gates using representative demands before production.</x:v>
      </x:c>
      <x:c r="B2" s="66" t="str">
        <x:v>Recommended starting baseline. DDC5I must calibrate weights and approval gates using representative demands before production.</x:v>
      </x:c>
      <x:c r="C2" s="66" t="str">
        <x:v>Recommended starting baseline. DDC5I must calibrate weights and approval gates using representative demands before production.</x:v>
      </x:c>
      <x:c r="D2" s="66" t="str">
        <x:v>Recommended starting baseline. DDC5I must calibrate weights and approval gates using representative demands before production.</x:v>
      </x:c>
      <x:c r="E2" s="66" t="str">
        <x:v>Recommended starting baseline. DDC5I must calibrate weights and approval gates using representative demands before production.</x:v>
      </x:c>
      <x:c r="F2" s="66" t="str">
        <x:v>Recommended starting baseline. DDC5I must calibrate weights and approval gates using representative demands before production.</x:v>
      </x:c>
      <x:c r="G2" s="66" t="str">
        <x:v>Recommended starting baseline. DDC5I must calibrate weights and approval gates using representative demands before production.</x:v>
      </x:c>
      <x:c r="H2" s="66" t="str">
        <x:v>Recommended starting baseline. DDC5I must calibrate weights and approval gates using representative demands before production.</x:v>
      </x:c>
    </x:row>
    <x:row r="3">
      <x:c r="A3" s="77"/>
      <x:c r="B3" s="77"/>
      <x:c r="C3" s="77"/>
      <x:c r="D3" s="77"/>
      <x:c r="E3" s="77"/>
      <x:c r="F3" s="77"/>
      <x:c r="G3" s="77"/>
      <x:c r="H3" s="77"/>
    </x:row>
    <x:row r="4" ht="25" customHeight="1">
      <x:c r="A4" s="68" t="str">
        <x:v>Recommended Demand Scoring Baseline</x:v>
      </x:c>
      <x:c r="B4" s="68" t="str">
        <x:v>Recommended Demand Scoring Baseline</x:v>
      </x:c>
      <x:c r="C4" s="68" t="str">
        <x:v>Recommended Demand Scoring Baseline</x:v>
      </x:c>
      <x:c r="D4" s="68" t="str">
        <x:v>Recommended Demand Scoring Baseline</x:v>
      </x:c>
      <x:c r="E4" s="68" t="str">
        <x:v>Recommended Demand Scoring Baseline</x:v>
      </x:c>
      <x:c r="F4" s="68" t="str">
        <x:v>Recommended Demand Scoring Baseline</x:v>
      </x:c>
      <x:c r="G4" s="68" t="str">
        <x:v>Recommended Demand Scoring Baseline</x:v>
      </x:c>
      <x:c r="H4" s="68" t="str">
        <x:v>Recommended Demand Scoring Baseline</x:v>
      </x:c>
    </x:row>
    <x:row r="5" ht="30" customHeight="1">
      <x:c r="A5" s="69" t="str">
        <x:v>Criterion</x:v>
      </x:c>
      <x:c r="B5" s="69" t="str">
        <x:v>Weight (%)</x:v>
      </x:c>
      <x:c r="C5" s="69" t="str">
        <x:v>Intent</x:v>
      </x:c>
      <x:c r="D5" s="77"/>
      <x:c r="E5" s="77"/>
      <x:c r="F5" s="77"/>
      <x:c r="G5" s="77"/>
      <x:c r="H5" s="77"/>
    </x:row>
    <x:row r="6">
      <x:c r="A6" s="73" t="str">
        <x:v>Mission criticality</x:v>
      </x:c>
      <x:c r="B6" s="87" t="n">
        <x:v>25</x:v>
      </x:c>
      <x:c r="C6" s="73" t="str">
        <x:v>Contribution to required DDC5I or Joint Staff mission outcomes; consequences of inaction</x:v>
      </x:c>
      <x:c r="D6" s="77"/>
      <x:c r="E6" s="77"/>
      <x:c r="F6" s="77"/>
      <x:c r="G6" s="77"/>
      <x:c r="H6" s="77"/>
    </x:row>
    <x:row r="7">
      <x:c r="A7" s="73" t="str">
        <x:v>Strategic alignment</x:v>
      </x:c>
      <x:c r="B7" s="87" t="n">
        <x:v>20</x:v>
      </x:c>
      <x:c r="C7" s="73" t="str">
        <x:v>Alignment with approved strategies, mandates, objectives, and division priorities</x:v>
      </x:c>
      <x:c r="D7" s="77"/>
      <x:c r="E7" s="77"/>
      <x:c r="F7" s="77"/>
      <x:c r="G7" s="77"/>
      <x:c r="H7" s="77"/>
    </x:row>
    <x:row r="8">
      <x:c r="A8" s="73" t="str">
        <x:v>Operational impact</x:v>
      </x:c>
      <x:c r="B8" s="87" t="n">
        <x:v>15</x:v>
      </x:c>
      <x:c r="C8" s="73" t="str">
        <x:v>Effect on Joint/coalition readiness, decision advantage, interoperability, or service delivery</x:v>
      </x:c>
      <x:c r="D8" s="77"/>
      <x:c r="E8" s="77"/>
      <x:c r="F8" s="77"/>
      <x:c r="G8" s="77"/>
      <x:c r="H8" s="77"/>
    </x:row>
    <x:row r="9">
      <x:c r="A9" s="73" t="str">
        <x:v>Urgency/time sensitivity</x:v>
      </x:c>
      <x:c r="B9" s="87" t="n">
        <x:v>10</x:v>
      </x:c>
      <x:c r="C9" s="73" t="str">
        <x:v>Required decision or delivery window and external deadline</x:v>
      </x:c>
      <x:c r="D9" s="77"/>
      <x:c r="E9" s="77"/>
      <x:c r="F9" s="77"/>
      <x:c r="G9" s="77"/>
      <x:c r="H9" s="77"/>
    </x:row>
    <x:row r="10">
      <x:c r="A10" s="73" t="str">
        <x:v>Risk reduction</x:v>
      </x:c>
      <x:c r="B10" s="87" t="n">
        <x:v>10</x:v>
      </x:c>
      <x:c r="C10" s="73" t="str">
        <x:v>Reduction of operational, security, compliance, technical, or continuity risk</x:v>
      </x:c>
      <x:c r="D10" s="77"/>
      <x:c r="E10" s="77"/>
      <x:c r="F10" s="77"/>
      <x:c r="G10" s="77"/>
      <x:c r="H10" s="77"/>
    </x:row>
    <x:row r="11">
      <x:c r="A11" s="73" t="str">
        <x:v>Readiness/interoperability contribution</x:v>
      </x:c>
      <x:c r="B11" s="87" t="n">
        <x:v>10</x:v>
      </x:c>
      <x:c r="C11" s="73" t="str">
        <x:v>Improvement to measurable readiness, standards, data, or cross-organizational interoperability</x:v>
      </x:c>
      <x:c r="D11" s="77"/>
      <x:c r="E11" s="77"/>
      <x:c r="F11" s="77"/>
      <x:c r="G11" s="77"/>
      <x:c r="H11" s="77"/>
    </x:row>
    <x:row r="12">
      <x:c r="A12" s="73" t="str">
        <x:v>Feasibility/resource confidence</x:v>
      </x:c>
      <x:c r="B12" s="87" t="n">
        <x:v>5</x:v>
      </x:c>
      <x:c r="C12" s="73" t="str">
        <x:v>Availability and confidence of people, skills, funds, technology, and stakeholder support</x:v>
      </x:c>
      <x:c r="D12" s="77"/>
      <x:c r="E12" s="77"/>
      <x:c r="F12" s="77"/>
      <x:c r="G12" s="77"/>
      <x:c r="H12" s="77"/>
    </x:row>
    <x:row r="13">
      <x:c r="A13" s="73" t="str">
        <x:v>Expected value/ROI</x:v>
      </x:c>
      <x:c r="B13" s="87" t="n">
        <x:v>5</x:v>
      </x:c>
      <x:c r="C13" s="73" t="str">
        <x:v>Expected benefits, cost avoidance, time saved, quality, or strategic value</x:v>
      </x:c>
      <x:c r="D13" s="77"/>
      <x:c r="E13" s="77"/>
      <x:c r="F13" s="77"/>
      <x:c r="G13" s="77"/>
      <x:c r="H13" s="77"/>
    </x:row>
    <x:row r="14">
      <x:c r="A14" s="89" t="str">
        <x:v>Total</x:v>
      </x:c>
      <x:c r="B14" s="89" t="n">
        <x:f>SUM(B6:B13)</x:f>
        <x:v>100</x:v>
      </x:c>
      <x:c r="C14" s="77"/>
      <x:c r="D14" s="77"/>
      <x:c r="E14" s="77"/>
      <x:c r="F14" s="77"/>
      <x:c r="G14" s="77"/>
      <x:c r="H14" s="77"/>
    </x:row>
    <x:row r="15">
      <x:c r="A15" s="77"/>
      <x:c r="B15" s="77"/>
      <x:c r="C15" s="77"/>
      <x:c r="D15" s="77"/>
      <x:c r="E15" s="77"/>
      <x:c r="F15" s="77"/>
      <x:c r="G15" s="77"/>
      <x:c r="H15" s="77"/>
    </x:row>
    <x:row r="16">
      <x:c r="A16" s="77"/>
      <x:c r="B16" s="77"/>
      <x:c r="C16" s="77"/>
      <x:c r="D16" s="77"/>
      <x:c r="E16" s="77"/>
      <x:c r="F16" s="77"/>
      <x:c r="G16" s="77"/>
      <x:c r="H16" s="77"/>
    </x:row>
    <x:row r="17" ht="25" customHeight="1">
      <x:c r="A17" s="68" t="str">
        <x:v>End-to-End Lifecycle</x:v>
      </x:c>
      <x:c r="B17" s="68" t="str">
        <x:v>End-to-End Lifecycle</x:v>
      </x:c>
      <x:c r="C17" s="68" t="str">
        <x:v>End-to-End Lifecycle</x:v>
      </x:c>
      <x:c r="D17" s="68" t="str">
        <x:v>End-to-End Lifecycle</x:v>
      </x:c>
      <x:c r="E17" s="68" t="str">
        <x:v>End-to-End Lifecycle</x:v>
      </x:c>
      <x:c r="F17" s="68" t="str">
        <x:v>End-to-End Lifecycle</x:v>
      </x:c>
      <x:c r="G17" s="68" t="str">
        <x:v>End-to-End Lifecycle</x:v>
      </x:c>
      <x:c r="H17" s="68" t="str">
        <x:v>End-to-End Lifecycle</x:v>
      </x:c>
    </x:row>
    <x:row r="18" ht="30" customHeight="1">
      <x:c r="A18" s="69" t="str">
        <x:v>Stage</x:v>
      </x:c>
      <x:c r="B18" s="69" t="str">
        <x:v>Primary activity</x:v>
      </x:c>
      <x:c r="C18" s="69" t="str">
        <x:v>Exit evidence</x:v>
      </x:c>
      <x:c r="D18" s="69" t="str">
        <x:v>Accountable role</x:v>
      </x:c>
      <x:c r="E18" s="77"/>
      <x:c r="F18" s="77"/>
      <x:c r="G18" s="77"/>
      <x:c r="H18" s="77"/>
    </x:row>
    <x:row r="19">
      <x:c r="A19" s="73" t="str">
        <x:v>1. Frame strategy</x:v>
      </x:c>
      <x:c r="B19" s="73" t="str">
        <x:v>Maintain missions, functions, objectives, outcomes, priorities, mandates, and planning assumptions.</x:v>
      </x:c>
      <x:c r="C19" s="73" t="str">
        <x:v>Approved strategy/function catalog and metrics</x:v>
      </x:c>
      <x:c r="D19" s="73" t="str">
        <x:v>DDC5I Portfolio Owner</x:v>
      </x:c>
      <x:c r="E19" s="77"/>
      <x:c r="F19" s="77"/>
      <x:c r="G19" s="77"/>
      <x:c r="H19" s="77"/>
    </x:row>
    <x:row r="20">
      <x:c r="A20" s="73" t="str">
        <x:v>2. Capture demand</x:v>
      </x:c>
      <x:c r="B20" s="73" t="str">
        <x:v>Submit ideas, taskers, mandates, gaps, modernization work, recurring workload, and changes.</x:v>
      </x:c>
      <x:c r="C20" s="73" t="str">
        <x:v>Complete sponsored demand</x:v>
      </x:c>
      <x:c r="D20" s="73" t="str">
        <x:v>Demand Sponsor</x:v>
      </x:c>
      <x:c r="E20" s="77"/>
      <x:c r="F20" s="77"/>
      <x:c r="G20" s="77"/>
      <x:c r="H20" s="77"/>
    </x:row>
    <x:row r="21">
      <x:c r="A21" s="73" t="str">
        <x:v>3. Triage and shape</x:v>
      </x:c>
      <x:c r="B21" s="73" t="str">
        <x:v>Validate completeness, duplicate, sensitivity, type, scope, owner, and assessment route.</x:v>
      </x:c>
      <x:c r="C21" s="73" t="str">
        <x:v>Triage disposition and assessment plan</x:v>
      </x:c>
      <x:c r="D21" s="73" t="str">
        <x:v>Demand Manager</x:v>
      </x:c>
      <x:c r="E21" s="77"/>
      <x:c r="F21" s="77"/>
      <x:c r="G21" s="77"/>
      <x:c r="H21" s="77"/>
    </x:row>
    <x:row r="22">
      <x:c r="A22" s="73" t="str">
        <x:v>4. Assess and prioritize</x:v>
      </x:c>
      <x:c r="B22" s="73" t="str">
        <x:v>Evaluate mission, value, urgency, risk, feasibility, resources, cost, dependency, and options.</x:v>
      </x:c>
      <x:c r="C22" s="73" t="str">
        <x:v>Scored assessment and staff recommendation</x:v>
      </x:c>
      <x:c r="D22" s="73" t="str">
        <x:v>Portfolio Manager</x:v>
      </x:c>
      <x:c r="E22" s="77"/>
      <x:c r="F22" s="77"/>
      <x:c r="G22" s="77"/>
      <x:c r="H22" s="77"/>
    </x:row>
    <x:row r="23">
      <x:c r="A23" s="73" t="str">
        <x:v>5. Decide and resource</x:v>
      </x:c>
      <x:c r="B23" s="73" t="str">
        <x:v>Approve, decline, defer, merge, pilot, or re-scope and record commitments and conditions.</x:v>
      </x:c>
      <x:c r="C23" s="73" t="str">
        <x:v>Authoritative decision record</x:v>
      </x:c>
      <x:c r="D23" s="73" t="str">
        <x:v>Decision Authority</x:v>
      </x:c>
      <x:c r="E23" s="77"/>
      <x:c r="F23" s="77"/>
      <x:c r="G23" s="77"/>
      <x:c r="H23" s="77"/>
    </x:row>
    <x:row r="24">
      <x:c r="A24" s="73" t="str">
        <x:v>6. Execute</x:v>
      </x:c>
      <x:c r="B24" s="73" t="str">
        <x:v>Create or connect ProjectOS; manage plan, tasks, schedule, RAID, deliverables, documents, and status.</x:v>
      </x:c>
      <x:c r="C24" s="73" t="str">
        <x:v>Approved baseline and current execution data</x:v>
      </x:c>
      <x:c r="D24" s="73" t="str">
        <x:v>Project Manager</x:v>
      </x:c>
      <x:c r="E24" s="77"/>
      <x:c r="F24" s="77"/>
      <x:c r="G24" s="77"/>
      <x:c r="H24" s="77"/>
    </x:row>
    <x:row r="25">
      <x:c r="A25" s="73" t="str">
        <x:v>7. Monitor and forecast</x:v>
      </x:c>
      <x:c r="B25" s="73" t="str">
        <x:v>Roll up health, actuals, gaps, dependencies, forecast, decisions, and change impacts.</x:v>
      </x:c>
      <x:c r="C25" s="73" t="str">
        <x:v>Current dashboards and decision package</x:v>
      </x:c>
      <x:c r="D25" s="73" t="str">
        <x:v>Portfolio Manager</x:v>
      </x:c>
      <x:c r="E25" s="77"/>
      <x:c r="F25" s="77"/>
      <x:c r="G25" s="77"/>
      <x:c r="H25" s="77"/>
    </x:row>
    <x:row r="26">
      <x:c r="A26" s="73" t="str">
        <x:v>8. Close and realize value</x:v>
      </x:c>
      <x:c r="B26" s="73" t="str">
        <x:v>Accept deliverables, reconcile resources/cost, retain records, capture lessons, transition, and measure benefits.</x:v>
      </x:c>
      <x:c r="C26" s="73" t="str">
        <x:v>Closure approval and benefit review plan</x:v>
      </x:c>
      <x:c r="D26" s="73" t="str">
        <x:v>Outcome Owner</x:v>
      </x:c>
      <x:c r="E26" s="77"/>
      <x:c r="F26" s="77"/>
      <x:c r="G26" s="77"/>
      <x:c r="H26" s="77"/>
    </x:row>
    <x:row r="27">
      <x:c r="A27" s="77"/>
      <x:c r="B27" s="77"/>
      <x:c r="C27" s="77"/>
      <x:c r="D27" s="77"/>
      <x:c r="E27" s="77"/>
      <x:c r="F27" s="77"/>
      <x:c r="G27" s="77"/>
      <x:c r="H27" s="77"/>
    </x:row>
    <x:row r="28">
      <x:c r="A28" s="77"/>
      <x:c r="B28" s="77"/>
      <x:c r="C28" s="77"/>
      <x:c r="D28" s="77"/>
      <x:c r="E28" s="77"/>
      <x:c r="F28" s="77"/>
      <x:c r="G28" s="77"/>
      <x:c r="H28" s="77"/>
    </x:row>
    <x:row r="29" ht="25" customHeight="1">
      <x:c r="A29" s="68" t="str">
        <x:v>Delivery Phases</x:v>
      </x:c>
      <x:c r="B29" s="68" t="str">
        <x:v>Delivery Phases</x:v>
      </x:c>
      <x:c r="C29" s="68" t="str">
        <x:v>Delivery Phases</x:v>
      </x:c>
      <x:c r="D29" s="68" t="str">
        <x:v>Delivery Phases</x:v>
      </x:c>
      <x:c r="E29" s="68" t="str">
        <x:v>Delivery Phases</x:v>
      </x:c>
      <x:c r="F29" s="68" t="str">
        <x:v>Delivery Phases</x:v>
      </x:c>
      <x:c r="G29" s="68" t="str">
        <x:v>Delivery Phases</x:v>
      </x:c>
      <x:c r="H29" s="68" t="str">
        <x:v>Delivery Phases</x:v>
      </x:c>
    </x:row>
    <x:row r="30" ht="30" customHeight="1">
      <x:c r="A30" s="69" t="str">
        <x:v>Phase</x:v>
      </x:c>
      <x:c r="B30" s="69" t="str">
        <x:v>Scope</x:v>
      </x:c>
      <x:c r="C30" s="77"/>
      <x:c r="D30" s="77"/>
      <x:c r="E30" s="77"/>
      <x:c r="F30" s="77"/>
      <x:c r="G30" s="77"/>
      <x:c r="H30" s="77"/>
    </x:row>
    <x:row r="31">
      <x:c r="A31" s="73" t="str">
        <x:v>Phase 1</x:v>
      </x:c>
      <x:c r="B31" s="73" t="str">
        <x:v>Foundation and MVP: governance, strategy, demand intake, assessment, approvals, basic dashboards, Excel, notifications, audit</x:v>
      </x:c>
      <x:c r="C31" s="77"/>
      <x:c r="D31" s="77"/>
      <x:c r="E31" s="77"/>
      <x:c r="F31" s="77"/>
      <x:c r="G31" s="77"/>
      <x:c r="H31" s="77"/>
    </x:row>
    <x:row r="32">
      <x:c r="A32" s="73" t="str">
        <x:v>Phase 2</x:v>
      </x:c>
      <x:c r="B32" s="73" t="str">
        <x:v>Portfolio and ProjectOS execution: project workspaces, WBS/boards/timelines, reusable blueprints and templates, status roll-up, RAID, division configuration, executive reporting</x:v>
      </x:c>
      <x:c r="C32" s="77"/>
      <x:c r="D32" s="77"/>
      <x:c r="E32" s="77"/>
      <x:c r="F32" s="77"/>
      <x:c r="G32" s="77"/>
      <x:c r="H32" s="77"/>
    </x:row>
    <x:row r="33">
      <x:c r="A33" s="73" t="str">
        <x:v>Phase 3</x:v>
      </x:c>
      <x:c r="B33" s="73" t="str">
        <x:v>Resource and financial management: capacity, skills, assignments, budget/actuals, benefits, Outlook approvals/calendar, enterprise analytics</x:v>
      </x:c>
      <x:c r="C33" s="77"/>
      <x:c r="D33" s="77"/>
      <x:c r="E33" s="77"/>
      <x:c r="F33" s="77"/>
      <x:c r="G33" s="77"/>
      <x:c r="H33" s="77"/>
    </x:row>
    <x:row r="34">
      <x:c r="A34" s="73" t="str">
        <x:v>Phase 4</x:v>
      </x:c>
      <x:c r="B34" s="73" t="str">
        <x:v>Forecasting and enterprise integration: scenarios, change impact, dependency analytics, authoritative financial/workforce integrations</x:v>
      </x:c>
      <x:c r="C34" s="77"/>
      <x:c r="D34" s="77"/>
      <x:c r="E34" s="77"/>
      <x:c r="F34" s="77"/>
      <x:c r="G34" s="77"/>
      <x:c r="H34" s="77"/>
    </x:row>
    <x:row r="35">
      <x:c r="A35" s="73" t="str">
        <x:v>Phase 5</x:v>
      </x:c>
      <x:c r="B35" s="73" t="str">
        <x:v>Optimization: responsible AI, recommendation support, forecast accuracy, resource optimization, continuous improvement</x:v>
      </x:c>
      <x:c r="C35" s="77"/>
      <x:c r="D35" s="77"/>
      <x:c r="E35" s="77"/>
      <x:c r="F35" s="77"/>
      <x:c r="G35" s="77"/>
      <x:c r="H35" s="77"/>
    </x:row>
  </x:sheetData>
  <x:mergeCells>
    <x:mergeCell ref="A1:H1"/>
    <x:mergeCell ref="A2:H2"/>
    <x:mergeCell ref="A4:H4"/>
    <x:mergeCell ref="A17:H17"/>
    <x:mergeCell ref="A29:H29"/>
  </x:mergeCells>
  <x:conditionalFormatting sqref="B14:B14">
    <x:cfRule type="cellIs" dxfId="6" priority="1" operator="notEqual">
      <x:formula>100</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72" hidden="0" customWidth="1"/>
    <x:col min="3" max="3" width="26"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43" t="str">
        <x:v>Dashboard and Information Model Specification</x:v>
      </x:c>
      <x:c r="B1" s="43" t="str">
        <x:v>Dashboard and Information Model Specification</x:v>
      </x:c>
      <x:c r="C1" s="43" t="str">
        <x:v>Dashboard and Information Model Specification</x:v>
      </x:c>
      <x:c r="D1" s="43" t="str">
        <x:v>Dashboard and Information Model Specification</x:v>
      </x:c>
      <x:c r="E1" s="43" t="str">
        <x:v>Dashboard and Information Model Specification</x:v>
      </x:c>
      <x:c r="F1" s="43" t="str">
        <x:v>Dashboard and Information Model Specification</x:v>
      </x:c>
      <x:c r="G1" s="43" t="str">
        <x:v>Dashboard and Information Model Specification</x:v>
      </x:c>
      <x:c r="H1" s="43" t="str">
        <x:v>Dashboard and Information Model Specification</x:v>
      </x:c>
    </x:row>
    <x:row r="2" ht="28" customHeight="1">
      <x:c r="A2" s="66" t="str">
        <x:v>Dashboards must support drill-down to source records, metric definitions, data freshness, and decision ownership.</x:v>
      </x:c>
      <x:c r="B2" s="66" t="str">
        <x:v>Dashboards must support drill-down to source records, metric definitions, data freshness, and decision ownership.</x:v>
      </x:c>
      <x:c r="C2" s="66" t="str">
        <x:v>Dashboards must support drill-down to source records, metric definitions, data freshness, and decision ownership.</x:v>
      </x:c>
      <x:c r="D2" s="66" t="str">
        <x:v>Dashboards must support drill-down to source records, metric definitions, data freshness, and decision ownership.</x:v>
      </x:c>
      <x:c r="E2" s="66" t="str">
        <x:v>Dashboards must support drill-down to source records, metric definitions, data freshness, and decision ownership.</x:v>
      </x:c>
      <x:c r="F2" s="66" t="str">
        <x:v>Dashboards must support drill-down to source records, metric definitions, data freshness, and decision ownership.</x:v>
      </x:c>
      <x:c r="G2" s="66" t="str">
        <x:v>Dashboards must support drill-down to source records, metric definitions, data freshness, and decision ownership.</x:v>
      </x:c>
      <x:c r="H2" s="66" t="str">
        <x:v>Dashboards must support drill-down to source records, metric definitions, data freshness, and decision ownership.</x:v>
      </x:c>
    </x:row>
    <x:row r="3">
      <x:c r="A3" s="77"/>
      <x:c r="B3" s="77"/>
      <x:c r="C3" s="77"/>
      <x:c r="D3" s="77"/>
      <x:c r="E3" s="77"/>
      <x:c r="F3" s="77"/>
      <x:c r="G3" s="77"/>
      <x:c r="H3" s="77"/>
    </x:row>
    <x:row r="4" ht="25" customHeight="1">
      <x:c r="A4" s="68" t="str">
        <x:v>Dashboard Views</x:v>
      </x:c>
      <x:c r="B4" s="68" t="str">
        <x:v>Dashboard Views</x:v>
      </x:c>
      <x:c r="C4" s="68" t="str">
        <x:v>Dashboard Views</x:v>
      </x:c>
      <x:c r="D4" s="68" t="str">
        <x:v>Dashboard Views</x:v>
      </x:c>
      <x:c r="E4" s="68" t="str">
        <x:v>Dashboard Views</x:v>
      </x:c>
      <x:c r="F4" s="68" t="str">
        <x:v>Dashboard Views</x:v>
      </x:c>
      <x:c r="G4" s="68" t="str">
        <x:v>Dashboard Views</x:v>
      </x:c>
      <x:c r="H4" s="68" t="str">
        <x:v>Dashboard Views</x:v>
      </x:c>
    </x:row>
    <x:row r="5" ht="30" customHeight="1">
      <x:c r="A5" s="69" t="str">
        <x:v>Dashboard</x:v>
      </x:c>
      <x:c r="B5" s="69" t="str">
        <x:v>Decision Content</x:v>
      </x:c>
      <x:c r="C5" s="69" t="str">
        <x:v>Primary Audience</x:v>
      </x:c>
      <x:c r="D5" s="77"/>
      <x:c r="E5" s="77"/>
      <x:c r="F5" s="77"/>
      <x:c r="G5" s="77"/>
      <x:c r="H5" s="77"/>
    </x:row>
    <x:row r="6">
      <x:c r="A6" s="73" t="str">
        <x:v>DDC5I Senior</x:v>
      </x:c>
      <x:c r="B6" s="73" t="str">
        <x:v>Priorities; gaps; demand vs capacity; portfolio health; decisions; roadblocks; dependencies; budget/actuals; workforce/skills; scenario impacts; DDC5I story</x:v>
      </x:c>
      <x:c r="C6" s="73" t="str">
        <x:v>DDC5I Senior Leadership</x:v>
      </x:c>
      <x:c r="D6" s="77"/>
      <x:c r="E6" s="77"/>
      <x:c r="F6" s="77"/>
      <x:c r="G6" s="77"/>
      <x:c r="H6" s="77"/>
    </x:row>
    <x:row r="7">
      <x:c r="A7" s="73" t="str">
        <x:v>Division</x:v>
      </x:c>
      <x:c r="B7" s="73" t="str">
        <x:v>Mission/functions; demand pipeline; projects; core-work capacity; milestones; RAID; financials; skills; stakeholder contributions; division narrative</x:v>
      </x:c>
      <x:c r="C7" s="73" t="str">
        <x:v>Division Chief and staff</x:v>
      </x:c>
      <x:c r="D7" s="77"/>
      <x:c r="E7" s="77"/>
      <x:c r="F7" s="77"/>
      <x:c r="G7" s="77"/>
      <x:c r="H7" s="77"/>
    </x:row>
    <x:row r="8">
      <x:c r="A8" s="73" t="str">
        <x:v>Portfolio Operations</x:v>
      </x:c>
      <x:c r="B8" s="73" t="str">
        <x:v>Intake SLAs; assessment queues; decision calendar; portfolio Gantt; risk exposure and trends; stale data; change control; benefit reviews; cross-division dependencies</x:v>
      </x:c>
      <x:c r="C8" s="73" t="str">
        <x:v>PMO and portfolio managers</x:v>
      </x:c>
      <x:c r="D8" s="77"/>
      <x:c r="E8" s="77"/>
      <x:c r="F8" s="77"/>
      <x:c r="G8" s="77"/>
      <x:c r="H8" s="77"/>
    </x:row>
    <x:row r="9">
      <x:c r="A9" s="73" t="str">
        <x:v>Resource and Skills</x:v>
      </x:c>
      <x:c r="B9" s="73" t="str">
        <x:v>Supply/demand; planned and unplanned work; allocations; overbooking; vacancies; critical roles; skills gaps; reallocation impacts; training/hiring actions; core-function minimums</x:v>
      </x:c>
      <x:c r="C9" s="73" t="str">
        <x:v>Resource/workforce managers</x:v>
      </x:c>
      <x:c r="D9" s="77"/>
      <x:c r="E9" s="77"/>
      <x:c r="F9" s="77"/>
      <x:c r="G9" s="77"/>
      <x:c r="H9" s="77"/>
    </x:row>
    <x:row r="10">
      <x:c r="A10" s="73" t="str">
        <x:v>Financial</x:v>
      </x:c>
      <x:c r="B10" s="73" t="str">
        <x:v>Budget; actuals; forecast; EAC; variance; unfunded requirements; funding constraints; benefits and ROI</x:v>
      </x:c>
      <x:c r="C10" s="73" t="str">
        <x:v>Financial managers and leaders</x:v>
      </x:c>
      <x:c r="D10" s="77"/>
      <x:c r="E10" s="77"/>
      <x:c r="F10" s="77"/>
      <x:c r="G10" s="77"/>
      <x:c r="H10" s="77"/>
    </x:row>
    <x:row r="11">
      <x:c r="A11" s="73" t="str">
        <x:v>Value and Optimization</x:v>
      </x:c>
      <x:c r="B11" s="73" t="str">
        <x:v>Value increments; time to first value; realized benefits; portfolio options; binding constraints; tradeoffs; value at risk</x:v>
      </x:c>
      <x:c r="C11" s="73" t="str">
        <x:v>Senior leaders, benefits owners, and portfolio analysts</x:v>
      </x:c>
      <x:c r="D11" s="77"/>
      <x:c r="E11" s="77"/>
      <x:c r="F11" s="77"/>
      <x:c r="G11" s="77"/>
      <x:c r="H11" s="77"/>
    </x:row>
    <x:row r="12">
      <x:c r="A12" s="73" t="str">
        <x:v>Blueprint and Methods</x:v>
      </x:c>
      <x:c r="B12" s="73" t="str">
        <x:v>Blueprint usage; template versions; agile/waterfall/hybrid adoption; standardization exceptions; deployment and update status</x:v>
      </x:c>
      <x:c r="C12" s="73" t="str">
        <x:v>PMO, method leads, and platform administrators</x:v>
      </x:c>
      <x:c r="D12" s="77"/>
      <x:c r="E12" s="77"/>
      <x:c r="F12" s="77"/>
      <x:c r="G12" s="77"/>
      <x:c r="H12" s="77"/>
    </x:row>
    <x:row r="13">
      <x:c r="A13" s="73" t="str">
        <x:v>My Work / ProjectOS</x:v>
      </x:c>
      <x:c r="B13" s="73" t="str">
        <x:v>Projects; tasks; WBS/board/timeline; approvals; actions; milestones; time/effort; risks; notifications</x:v>
      </x:c>
      <x:c r="C13" s="73" t="str">
        <x:v>Individual user and project team</x:v>
      </x:c>
      <x:c r="D13" s="77"/>
      <x:c r="E13" s="77"/>
      <x:c r="F13" s="77"/>
      <x:c r="G13" s="77"/>
      <x:c r="H13" s="77"/>
    </x:row>
    <x:row r="14">
      <x:c r="A14" s="77"/>
      <x:c r="B14" s="77"/>
      <x:c r="C14" s="77"/>
      <x:c r="D14" s="77"/>
      <x:c r="E14" s="77"/>
      <x:c r="F14" s="77"/>
      <x:c r="G14" s="77"/>
      <x:c r="H14" s="77"/>
    </x:row>
    <x:row r="15">
      <x:c r="A15" s="77"/>
      <x:c r="B15" s="77"/>
      <x:c r="C15" s="77"/>
      <x:c r="D15" s="77"/>
      <x:c r="E15" s="77"/>
      <x:c r="F15" s="77"/>
      <x:c r="G15" s="77"/>
      <x:c r="H15" s="77"/>
    </x:row>
    <x:row r="16" ht="25" customHeight="1">
      <x:c r="A16" s="68" t="str">
        <x:v>Canonical Information Domains</x:v>
      </x:c>
      <x:c r="B16" s="68" t="str">
        <x:v>Canonical Information Domains</x:v>
      </x:c>
      <x:c r="C16" s="68" t="str">
        <x:v>Canonical Information Domains</x:v>
      </x:c>
      <x:c r="D16" s="68" t="str">
        <x:v>Canonical Information Domains</x:v>
      </x:c>
      <x:c r="E16" s="68" t="str">
        <x:v>Canonical Information Domains</x:v>
      </x:c>
      <x:c r="F16" s="68" t="str">
        <x:v>Canonical Information Domains</x:v>
      </x:c>
      <x:c r="G16" s="68" t="str">
        <x:v>Canonical Information Domains</x:v>
      </x:c>
      <x:c r="H16" s="68" t="str">
        <x:v>Canonical Information Domains</x:v>
      </x:c>
    </x:row>
    <x:row r="17" ht="30" customHeight="1">
      <x:c r="A17" s="69" t="str">
        <x:v>Domain</x:v>
      </x:c>
      <x:c r="B17" s="69" t="str">
        <x:v>Primary Entities</x:v>
      </x:c>
      <x:c r="C17" s="77"/>
      <x:c r="D17" s="77"/>
      <x:c r="E17" s="77"/>
      <x:c r="F17" s="77"/>
      <x:c r="G17" s="77"/>
      <x:c r="H17" s="77"/>
    </x:row>
    <x:row r="18">
      <x:c r="A18" s="73" t="str">
        <x:v>Strategy and mission</x:v>
      </x:c>
      <x:c r="B18" s="73" t="str">
        <x:v>Strategy, objective, key result, mission, function, capability, mandate, customer, outcome</x:v>
      </x:c>
      <x:c r="C18" s="77"/>
      <x:c r="D18" s="77"/>
      <x:c r="E18" s="77"/>
      <x:c r="F18" s="77"/>
      <x:c r="G18" s="77"/>
      <x:c r="H18" s="77"/>
    </x:row>
    <x:row r="19">
      <x:c r="A19" s="73" t="str">
        <x:v>Demand</x:v>
      </x:c>
      <x:c r="B19" s="73" t="str">
        <x:v>Idea, demand, tasker, change request, assessment, score, option, approval, condition</x:v>
      </x:c>
      <x:c r="C19" s="77"/>
      <x:c r="D19" s="77"/>
      <x:c r="E19" s="77"/>
      <x:c r="F19" s="77"/>
      <x:c r="G19" s="77"/>
      <x:c r="H19" s="77"/>
    </x:row>
    <x:row r="20">
      <x:c r="A20" s="73" t="str">
        <x:v>Portfolio</x:v>
      </x:c>
      <x:c r="B20" s="73" t="str">
        <x:v>Portfolio, program, product/service, value stream, roadmap, baseline, scenario, optimization run, decision forum</x:v>
      </x:c>
      <x:c r="C20" s="77"/>
      <x:c r="D20" s="77"/>
      <x:c r="E20" s="77"/>
      <x:c r="F20" s="77"/>
      <x:c r="G20" s="77"/>
      <x:c r="H20" s="77"/>
    </x:row>
    <x:row r="21">
      <x:c r="A21" s="73" t="str">
        <x:v>Execution</x:v>
      </x:c>
      <x:c r="B21" s="73" t="str">
        <x:v>Project, workstream, WBS, epic, sprint, task, milestone, schedule baseline, forecast date, deliverable, status report, action</x:v>
      </x:c>
      <x:c r="C21" s="77"/>
      <x:c r="D21" s="77"/>
      <x:c r="E21" s="77"/>
      <x:c r="F21" s="77"/>
      <x:c r="G21" s="77"/>
      <x:c r="H21" s="77"/>
    </x:row>
    <x:row r="22">
      <x:c r="A22" s="73" t="str">
        <x:v>Assurance</x:v>
      </x:c>
      <x:c r="B22" s="73" t="str">
        <x:v>Risk, assumption, issue, dependency, decision, control, risk exposure snapshot, acceptance evidence, lesson</x:v>
      </x:c>
      <x:c r="C22" s="77"/>
      <x:c r="D22" s="77"/>
      <x:c r="E22" s="77"/>
      <x:c r="F22" s="77"/>
      <x:c r="G22" s="77"/>
      <x:c r="H22" s="77"/>
    </x:row>
    <x:row r="23">
      <x:c r="A23" s="73" t="str">
        <x:v>Resource</x:v>
      </x:c>
      <x:c r="B23" s="73" t="str">
        <x:v>Person, position, team, role, skill, proficiency, capacity, allocation, actual effort, vacancy</x:v>
      </x:c>
      <x:c r="C23" s="77"/>
      <x:c r="D23" s="77"/>
      <x:c r="E23" s="77"/>
      <x:c r="F23" s="77"/>
      <x:c r="G23" s="77"/>
      <x:c r="H23" s="77"/>
    </x:row>
    <x:row r="24">
      <x:c r="A24" s="73" t="str">
        <x:v>Financial</x:v>
      </x:c>
      <x:c r="B24" s="73" t="str">
        <x:v>Funding source, budget, plan, commitment, obligation, expenditure, forecast, cost, benefit</x:v>
      </x:c>
      <x:c r="C24" s="77"/>
      <x:c r="D24" s="77"/>
      <x:c r="E24" s="77"/>
      <x:c r="F24" s="77"/>
      <x:c r="G24" s="77"/>
      <x:c r="H24" s="77"/>
    </x:row>
    <x:row r="25">
      <x:c r="A25" s="73" t="str">
        <x:v>Stakeholder</x:v>
      </x:c>
      <x:c r="B25" s="73" t="str">
        <x:v>Organization, contact, lead/support relationship, RACI, commitment, contribution, engagement</x:v>
      </x:c>
      <x:c r="C25" s="77"/>
      <x:c r="D25" s="77"/>
      <x:c r="E25" s="77"/>
      <x:c r="F25" s="77"/>
      <x:c r="G25" s="77"/>
      <x:c r="H25" s="77"/>
    </x:row>
    <x:row r="26">
      <x:c r="A26" s="73" t="str">
        <x:v>Method and reuse</x:v>
      </x:c>
      <x:c r="B26" s="73" t="str">
        <x:v>Methodology, blueprint, template set, stage gate, control profile, metric mapping, deployed instance</x:v>
      </x:c>
      <x:c r="C26" s="77"/>
      <x:c r="D26" s="77"/>
      <x:c r="E26" s="77"/>
      <x:c r="F26" s="77"/>
      <x:c r="G26" s="77"/>
      <x:c r="H26" s="77"/>
    </x:row>
    <x:row r="27">
      <x:c r="A27" s="73" t="str">
        <x:v>Integration and governance</x:v>
      </x:c>
      <x:c r="B27" s="73" t="str">
        <x:v>Source system, interface, event, import batch, reconciliation, data-quality rule, audit event</x:v>
      </x:c>
      <x:c r="C27" s="77"/>
      <x:c r="D27" s="77"/>
      <x:c r="E27" s="77"/>
      <x:c r="F27" s="77"/>
      <x:c r="G27" s="77"/>
      <x:c r="H27" s="77"/>
    </x:row>
  </x:sheetData>
  <x:mergeCells>
    <x:mergeCell ref="A1:H1"/>
    <x:mergeCell ref="A2:H2"/>
    <x:mergeCell ref="A4:H4"/>
    <x:mergeCell ref="A16:H1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54" hidden="0" customWidth="1"/>
    <x:col min="3" max="3" width="24" hidden="0" customWidth="1"/>
    <x:col min="4" max="4" width="15" hidden="0" customWidth="1"/>
    <x:col min="5" max="5" width="15" hidden="0" customWidth="1"/>
    <x:col min="6" max="6" width="12" hidden="0" customWidth="1"/>
    <x:col min="7" max="7" width="12" hidden="0" customWidth="1"/>
    <x:col min="8" max="8" width="12" hidden="0" customWidth="1"/>
  </x:cols>
  <x:sheetData>
    <x:row r="1" ht="34" customHeight="1">
      <x:c r="A1" s="43" t="str">
        <x:v>Implementation Risks, Assumptions, and Open Decisions</x:v>
      </x:c>
      <x:c r="B1" s="43" t="str">
        <x:v>Implementation Risks, Assumptions, and Open Decisions</x:v>
      </x:c>
      <x:c r="C1" s="43" t="str">
        <x:v>Implementation Risks, Assumptions, and Open Decisions</x:v>
      </x:c>
      <x:c r="D1" s="43" t="str">
        <x:v>Implementation Risks, Assumptions, and Open Decisions</x:v>
      </x:c>
      <x:c r="E1" s="43" t="str">
        <x:v>Implementation Risks, Assumptions, and Open Decisions</x:v>
      </x:c>
      <x:c r="F1" s="43" t="str">
        <x:v>Implementation Risks, Assumptions, and Open Decisions</x:v>
      </x:c>
      <x:c r="G1" s="43" t="str">
        <x:v>Implementation Risks, Assumptions, and Open Decisions</x:v>
      </x:c>
      <x:c r="H1" s="43" t="str">
        <x:v>Implementation Risks, Assumptions, and Open Decisions</x:v>
      </x:c>
    </x:row>
    <x:row r="2" ht="28" customHeight="1">
      <x:c r="A2" s="66" t="str">
        <x:v>Assign owners and due dates during stakeholder validation. Open decisions should be resolved before detailed configuration or interface build.</x:v>
      </x:c>
      <x:c r="B2" s="66" t="str">
        <x:v>Assign owners and due dates during stakeholder validation. Open decisions should be resolved before detailed configuration or interface build.</x:v>
      </x:c>
      <x:c r="C2" s="66" t="str">
        <x:v>Assign owners and due dates during stakeholder validation. Open decisions should be resolved before detailed configuration or interface build.</x:v>
      </x:c>
      <x:c r="D2" s="66" t="str">
        <x:v>Assign owners and due dates during stakeholder validation. Open decisions should be resolved before detailed configuration or interface build.</x:v>
      </x:c>
      <x:c r="E2" s="66" t="str">
        <x:v>Assign owners and due dates during stakeholder validation. Open decisions should be resolved before detailed configuration or interface build.</x:v>
      </x:c>
      <x:c r="F2" s="66" t="str">
        <x:v>Assign owners and due dates during stakeholder validation. Open decisions should be resolved before detailed configuration or interface build.</x:v>
      </x:c>
      <x:c r="G2" s="66" t="str">
        <x:v>Assign owners and due dates during stakeholder validation. Open decisions should be resolved before detailed configuration or interface build.</x:v>
      </x:c>
      <x:c r="H2" s="66" t="str">
        <x:v>Assign owners and due dates during stakeholder validation. Open decisions should be resolved before detailed configuration or interface build.</x:v>
      </x:c>
    </x:row>
    <x:row r="3">
      <x:c r="A3" s="77"/>
      <x:c r="B3" s="77"/>
      <x:c r="C3" s="77"/>
      <x:c r="D3" s="77"/>
      <x:c r="E3" s="77"/>
      <x:c r="F3" s="77"/>
      <x:c r="G3" s="77"/>
      <x:c r="H3" s="77"/>
    </x:row>
    <x:row r="4" ht="25" customHeight="1">
      <x:c r="A4" s="68" t="str">
        <x:v>Key Risks</x:v>
      </x:c>
      <x:c r="B4" s="68" t="str">
        <x:v>Key Risks</x:v>
      </x:c>
      <x:c r="C4" s="68" t="str">
        <x:v>Key Risks</x:v>
      </x:c>
      <x:c r="D4" s="68" t="str">
        <x:v>Key Risks</x:v>
      </x:c>
      <x:c r="E4" s="68" t="str">
        <x:v>Key Risks</x:v>
      </x:c>
      <x:c r="F4" s="68" t="str">
        <x:v>Key Risks</x:v>
      </x:c>
      <x:c r="G4" s="68" t="str">
        <x:v>Key Risks</x:v>
      </x:c>
      <x:c r="H4" s="68" t="str">
        <x:v>Key Risks</x:v>
      </x:c>
    </x:row>
    <x:row r="5" ht="30" customHeight="1">
      <x:c r="A5" s="69" t="str">
        <x:v>Risk</x:v>
      </x:c>
      <x:c r="B5" s="69" t="str">
        <x:v>Why It Matters</x:v>
      </x:c>
      <x:c r="C5" s="69" t="str">
        <x:v>Primary Mitigation</x:v>
      </x:c>
      <x:c r="D5" s="77"/>
      <x:c r="E5" s="77"/>
      <x:c r="F5" s="77"/>
      <x:c r="G5" s="77"/>
      <x:c r="H5" s="77"/>
    </x:row>
    <x:row r="6">
      <x:c r="A6" s="73" t="str">
        <x:v>Dual system of record</x:v>
      </x:c>
      <x:c r="B6" s="73" t="str">
        <x:v>ProjectOS and ServiceNow may diverge if authoritative fields and conflict rules are unclear.</x:v>
      </x:c>
      <x:c r="C6" s="73" t="str">
        <x:v>Establish canonical IDs, field ownership, event contracts, reconciliation, and one accountable integration owner.</x:v>
      </x:c>
      <x:c r="D6" s="77"/>
      <x:c r="E6" s="77"/>
      <x:c r="F6" s="77"/>
      <x:c r="G6" s="77"/>
      <x:c r="H6" s="77"/>
    </x:row>
    <x:row r="7">
      <x:c r="A7" s="73" t="str">
        <x:v>Resource data sensitivity</x:v>
      </x:c>
      <x:c r="B7" s="73" t="str">
        <x:v>Workforce and rate information may be overexposed in dashboards.</x:v>
      </x:c>
      <x:c r="C7" s="73" t="str">
        <x:v>Use minimum necessary attributes, field-level security, aggregated views, and privacy review.</x:v>
      </x:c>
      <x:c r="D7" s="77"/>
      <x:c r="E7" s="77"/>
      <x:c r="F7" s="77"/>
      <x:c r="G7" s="77"/>
      <x:c r="H7" s="77"/>
    </x:row>
    <x:row r="8">
      <x:c r="A8" s="73" t="str">
        <x:v>Customization debt</x:v>
      </x:c>
      <x:c r="B8" s="73" t="str">
        <x:v>Replicating unique processes through custom code could impair upgrades.</x:v>
      </x:c>
      <x:c r="C8" s="73" t="str">
        <x:v>Adopt configuration-first governance and require architecture approval for extensions.</x:v>
      </x:c>
      <x:c r="D8" s="77"/>
      <x:c r="E8" s="77"/>
      <x:c r="F8" s="77"/>
      <x:c r="G8" s="77"/>
      <x:c r="H8" s="77"/>
    </x:row>
    <x:row r="9">
      <x:c r="A9" s="73" t="str">
        <x:v>Spreadsheet persistence</x:v>
      </x:c>
      <x:c r="B9" s="73" t="str">
        <x:v>Users may continue parallel offline trackers, weakening data quality.</x:v>
      </x:c>
      <x:c r="C9" s="73" t="str">
        <x:v>Provide controlled round-trip templates, clear system-of-record rules, adoption measures, and retire redundant trackers.</x:v>
      </x:c>
      <x:c r="D9" s="77"/>
      <x:c r="E9" s="77"/>
      <x:c r="F9" s="77"/>
      <x:c r="G9" s="77"/>
      <x:c r="H9" s="77"/>
    </x:row>
    <x:row r="10">
      <x:c r="A10" s="73" t="str">
        <x:v>False precision</x:v>
      </x:c>
      <x:c r="B10" s="73" t="str">
        <x:v>Forecasts and ROI may appear more certain than the underlying estimates.</x:v>
      </x:c>
      <x:c r="C10" s="73" t="str">
        <x:v>Require confidence, ranges, source dates, assumptions, and scenario sensitivity.</x:v>
      </x:c>
      <x:c r="D10" s="77"/>
      <x:c r="E10" s="77"/>
      <x:c r="F10" s="77"/>
      <x:c r="G10" s="77"/>
      <x:c r="H10" s="77"/>
    </x:row>
    <x:row r="11">
      <x:c r="A11" s="73" t="str">
        <x:v>Inconsistent mission alignment</x:v>
      </x:c>
      <x:c r="B11" s="73" t="str">
        <x:v>Divisions may interpret objectives and scoring differently.</x:v>
      </x:c>
      <x:c r="C11" s="73" t="str">
        <x:v>Use governed taxonomy, calibration sessions, independent scoring, and periodic model review.</x:v>
      </x:c>
      <x:c r="D11" s="77"/>
      <x:c r="E11" s="77"/>
      <x:c r="F11" s="77"/>
      <x:c r="G11" s="77"/>
      <x:c r="H11" s="77"/>
    </x:row>
    <x:row r="12">
      <x:c r="A12" s="73" t="str">
        <x:v>Notification fatigue</x:v>
      </x:c>
      <x:c r="B12" s="73" t="str">
        <x:v>High email volume may cause missed approvals and workarounds.</x:v>
      </x:c>
      <x:c r="C12" s="73" t="str">
        <x:v>Use digests, severity thresholds, preferences, deduplication, and escalation rules.</x:v>
      </x:c>
      <x:c r="D12" s="77"/>
      <x:c r="E12" s="77"/>
      <x:c r="F12" s="77"/>
      <x:c r="G12" s="77"/>
      <x:c r="H12" s="77"/>
    </x:row>
    <x:row r="13">
      <x:c r="A13" s="73" t="str">
        <x:v>Weak data ownership</x:v>
      </x:c>
      <x:c r="B13" s="73" t="str">
        <x:v>Dashboards may lose credibility if stale or unreconciled data is tolerated.</x:v>
      </x:c>
      <x:c r="C13" s="73" t="str">
        <x:v>Assign stewards, quality SLAs, exception dashboards, and governance consequences.</x:v>
      </x:c>
      <x:c r="D13" s="77"/>
      <x:c r="E13" s="77"/>
      <x:c r="F13" s="77"/>
      <x:c r="G13" s="77"/>
      <x:c r="H13" s="77"/>
    </x:row>
    <x:row r="14">
      <x:c r="A14" s="77"/>
      <x:c r="B14" s="77"/>
      <x:c r="C14" s="77"/>
      <x:c r="D14" s="77"/>
      <x:c r="E14" s="77"/>
      <x:c r="F14" s="77"/>
      <x:c r="G14" s="77"/>
      <x:c r="H14" s="77"/>
    </x:row>
    <x:row r="15">
      <x:c r="A15" s="77"/>
      <x:c r="B15" s="77"/>
      <x:c r="C15" s="77"/>
      <x:c r="D15" s="77"/>
      <x:c r="E15" s="77"/>
      <x:c r="F15" s="77"/>
      <x:c r="G15" s="77"/>
      <x:c r="H15" s="77"/>
    </x:row>
    <x:row r="16" ht="25" customHeight="1">
      <x:c r="A16" s="68" t="str">
        <x:v>Assumptions</x:v>
      </x:c>
      <x:c r="B16" s="68" t="str">
        <x:v>Assumptions</x:v>
      </x:c>
      <x:c r="C16" s="68" t="str">
        <x:v>Assumptions</x:v>
      </x:c>
      <x:c r="D16" s="68" t="str">
        <x:v>Assumptions</x:v>
      </x:c>
      <x:c r="E16" s="68" t="str">
        <x:v>Assumptions</x:v>
      </x:c>
      <x:c r="F16" s="68" t="str">
        <x:v>Assumptions</x:v>
      </x:c>
      <x:c r="G16" s="68" t="str">
        <x:v>Assumptions</x:v>
      </x:c>
      <x:c r="H16" s="68" t="str">
        <x:v>Assumptions</x:v>
      </x:c>
    </x:row>
    <x:row r="17">
      <x:c r="A17" s="94" t="n">
        <x:v>1</x:v>
      </x:c>
      <x:c r="B17" s="73" t="str">
        <x:v>ServiceNow SPM remains the preferred enterprise portfolio platform, subject to licensing, environment authorization, and detailed fit-gap validation.</x:v>
      </x:c>
      <x:c r="C17" s="95" t="str">
        <x:v>Validate</x:v>
      </x:c>
      <x:c r="D17" s="77"/>
      <x:c r="E17" s="77"/>
      <x:c r="F17" s="77"/>
      <x:c r="G17" s="77"/>
      <x:c r="H17" s="77"/>
    </x:row>
    <x:row r="18">
      <x:c r="A18" s="94" t="n">
        <x:v>2</x:v>
      </x:c>
      <x:c r="B18" s="73" t="str">
        <x:v>ProjectOS remains the user-level execution experience for selected teams and exposes or will expose secured integration interfaces.</x:v>
      </x:c>
      <x:c r="C18" s="95" t="str">
        <x:v>Validate</x:v>
      </x:c>
      <x:c r="D18" s="77"/>
      <x:c r="E18" s="77"/>
      <x:c r="F18" s="77"/>
      <x:c r="G18" s="77"/>
      <x:c r="H18" s="77"/>
    </x:row>
    <x:row r="19">
      <x:c r="A19" s="94" t="n">
        <x:v>3</x:v>
      </x:c>
      <x:c r="B19" s="73" t="str">
        <x:v>DDC5I will establish an enterprise portfolio owner, division portfolio managers, data stewards, resource managers, and financial data owners.</x:v>
      </x:c>
      <x:c r="C19" s="95" t="str">
        <x:v>Validate</x:v>
      </x:c>
      <x:c r="D19" s="77"/>
      <x:c r="E19" s="77"/>
      <x:c r="F19" s="77"/>
      <x:c r="G19" s="77"/>
      <x:c r="H19" s="77"/>
    </x:row>
    <x:row r="20">
      <x:c r="A20" s="94" t="n">
        <x:v>4</x:v>
      </x:c>
      <x:c r="B20" s="73" t="str">
        <x:v>Authoritative workforce and financial data sources will be identified during design; interim controlled Excel imports may be used during the MVP.</x:v>
      </x:c>
      <x:c r="C20" s="95" t="str">
        <x:v>Validate</x:v>
      </x:c>
      <x:c r="D20" s="77"/>
      <x:c r="E20" s="77"/>
      <x:c r="F20" s="77"/>
      <x:c r="G20" s="77"/>
      <x:c r="H20" s="77"/>
    </x:row>
    <x:row r="21">
      <x:c r="A21" s="94" t="n">
        <x:v>5</x:v>
      </x:c>
      <x:c r="B21" s="73" t="str">
        <x:v>The platform will manage both named projects and recurring core functions because both consume the same constrained resources.</x:v>
      </x:c>
      <x:c r="C21" s="95" t="str">
        <x:v>Validate</x:v>
      </x:c>
      <x:c r="D21" s="77"/>
      <x:c r="E21" s="77"/>
      <x:c r="F21" s="77"/>
      <x:c r="G21" s="77"/>
      <x:c r="H21" s="77"/>
    </x:row>
    <x:row r="22">
      <x:c r="A22" s="94" t="n">
        <x:v>6</x:v>
      </x:c>
      <x:c r="B22" s="73" t="str">
        <x:v>Final scoring weights, approval thresholds, data markings, records schedules, service levels, and recovery objectives require DDC5I approval.</x:v>
      </x:c>
      <x:c r="C22" s="95" t="str">
        <x:v>Validate</x:v>
      </x:c>
      <x:c r="D22" s="77"/>
      <x:c r="E22" s="77"/>
      <x:c r="F22" s="77"/>
      <x:c r="G22" s="77"/>
      <x:c r="H22" s="77"/>
    </x:row>
    <x:row r="23">
      <x:c r="A23" s="77"/>
      <x:c r="B23" s="77"/>
      <x:c r="C23" s="77"/>
      <x:c r="D23" s="77"/>
      <x:c r="E23" s="77"/>
      <x:c r="F23" s="77"/>
      <x:c r="G23" s="77"/>
      <x:c r="H23" s="77"/>
    </x:row>
    <x:row r="24">
      <x:c r="A24" s="77"/>
      <x:c r="B24" s="77"/>
      <x:c r="C24" s="77"/>
      <x:c r="D24" s="77"/>
      <x:c r="E24" s="77"/>
      <x:c r="F24" s="77"/>
      <x:c r="G24" s="77"/>
      <x:c r="H24" s="77"/>
    </x:row>
    <x:row r="25" ht="25" customHeight="1">
      <x:c r="A25" s="68" t="str">
        <x:v>Open Decisions</x:v>
      </x:c>
      <x:c r="B25" s="68" t="str">
        <x:v>Open Decisions</x:v>
      </x:c>
      <x:c r="C25" s="68" t="str">
        <x:v>Open Decisions</x:v>
      </x:c>
      <x:c r="D25" s="68" t="str">
        <x:v>Open Decisions</x:v>
      </x:c>
      <x:c r="E25" s="68" t="str">
        <x:v>Open Decisions</x:v>
      </x:c>
      <x:c r="F25" s="68" t="str">
        <x:v>Open Decisions</x:v>
      </x:c>
      <x:c r="G25" s="68" t="str">
        <x:v>Open Decisions</x:v>
      </x:c>
      <x:c r="H25" s="68" t="str">
        <x:v>Open Decisions</x:v>
      </x:c>
    </x:row>
    <x:row r="26" ht="30" customHeight="1">
      <x:c r="A26" s="69" t="str">
        <x:v>#</x:v>
      </x:c>
      <x:c r="B26" s="69" t="str">
        <x:v>Decision</x:v>
      </x:c>
      <x:c r="C26" s="69" t="str">
        <x:v>Owner</x:v>
      </x:c>
      <x:c r="D26" s="69" t="str">
        <x:v>Due</x:v>
      </x:c>
      <x:c r="E26" s="69" t="str">
        <x:v>Status</x:v>
      </x:c>
      <x:c r="F26" s="77"/>
      <x:c r="G26" s="77"/>
      <x:c r="H26" s="77"/>
    </x:row>
    <x:row r="27">
      <x:c r="A27" s="95" t="n">
        <x:v>1</x:v>
      </x:c>
      <x:c r="B27" s="73" t="str">
        <x:v>Confirm the official product name and executive sponsor.</x:v>
      </x:c>
      <x:c r="C27" s="95" t="str"/>
      <x:c r="D27" s="96"/>
      <x:c r="E27" s="95" t="str">
        <x:v>Open</x:v>
      </x:c>
      <x:c r="F27" s="77"/>
      <x:c r="G27" s="77"/>
      <x:c r="H27" s="77"/>
    </x:row>
    <x:row r="28">
      <x:c r="A28" s="95" t="n">
        <x:v>2</x:v>
      </x:c>
      <x:c r="B28" s="73" t="str">
        <x:v>Confirm DDC5I organization hierarchy, branch structure, and whether C3OD2 is treated identically to the other division portfolios.</x:v>
      </x:c>
      <x:c r="C28" s="95" t="str"/>
      <x:c r="D28" s="96"/>
      <x:c r="E28" s="95" t="str">
        <x:v>Open</x:v>
      </x:c>
      <x:c r="F28" s="77"/>
      <x:c r="G28" s="77"/>
      <x:c r="H28" s="77"/>
    </x:row>
    <x:row r="29">
      <x:c r="A29" s="95" t="n">
        <x:v>3</x:v>
      </x:c>
      <x:c r="B29" s="73" t="str">
        <x:v>Identify the authoritative financial, workforce, time/effort, and organization-directory sources.</x:v>
      </x:c>
      <x:c r="C29" s="95" t="str"/>
      <x:c r="D29" s="96"/>
      <x:c r="E29" s="95" t="str">
        <x:v>Open</x:v>
      </x:c>
      <x:c r="F29" s="77"/>
      <x:c r="G29" s="77"/>
      <x:c r="H29" s="77"/>
    </x:row>
    <x:row r="30">
      <x:c r="A30" s="95" t="n">
        <x:v>4</x:v>
      </x:c>
      <x:c r="B30" s="73" t="str">
        <x:v>Define the target ServiceNow environment, licensed SPM modules, release, impact level, and authorization boundary.</x:v>
      </x:c>
      <x:c r="C30" s="95" t="str"/>
      <x:c r="D30" s="96"/>
      <x:c r="E30" s="95" t="str">
        <x:v>Open</x:v>
      </x:c>
      <x:c r="F30" s="77"/>
      <x:c r="G30" s="77"/>
      <x:c r="H30" s="77"/>
    </x:row>
    <x:row r="31">
      <x:c r="A31" s="95" t="n">
        <x:v>5</x:v>
      </x:c>
      <x:c r="B31" s="73" t="str">
        <x:v>Choose the authoritative owner for tasks, schedules, documents, time/effort, and project actuals when ProjectOS and ServiceNow both hold related data.</x:v>
      </x:c>
      <x:c r="C31" s="95" t="str"/>
      <x:c r="D31" s="96"/>
      <x:c r="E31" s="95" t="str">
        <x:v>Open</x:v>
      </x:c>
      <x:c r="F31" s="77"/>
      <x:c r="G31" s="77"/>
      <x:c r="H31" s="77"/>
    </x:row>
    <x:row r="32">
      <x:c r="A32" s="95" t="n">
        <x:v>6</x:v>
      </x:c>
      <x:c r="B32" s="73" t="str">
        <x:v>Approve demand scoring weights, mandatory-work rules, governance forums, stage gates, and decision thresholds.</x:v>
      </x:c>
      <x:c r="C32" s="95" t="str"/>
      <x:c r="D32" s="96"/>
      <x:c r="E32" s="95" t="str">
        <x:v>Open</x:v>
      </x:c>
      <x:c r="F32" s="77"/>
      <x:c r="G32" s="77"/>
      <x:c r="H32" s="77"/>
    </x:row>
    <x:row r="33">
      <x:c r="A33" s="95" t="n">
        <x:v>7</x:v>
      </x:c>
      <x:c r="B33" s="73" t="str">
        <x:v>Approve which Outlook actions are allowed in-message versus requiring authenticated platform access.</x:v>
      </x:c>
      <x:c r="C33" s="95" t="str"/>
      <x:c r="D33" s="96"/>
      <x:c r="E33" s="95" t="str">
        <x:v>Open</x:v>
      </x:c>
      <x:c r="F33" s="77"/>
      <x:c r="G33" s="77"/>
      <x:c r="H33" s="77"/>
    </x:row>
    <x:row r="34">
      <x:c r="A34" s="95" t="n">
        <x:v>8</x:v>
      </x:c>
      <x:c r="B34" s="73" t="str">
        <x:v>Set portfolio status cadence, data freshness rules, fiscal planning horizons, availability, RTO/RPO, and performance thresholds.</x:v>
      </x:c>
      <x:c r="C34" s="95" t="str"/>
      <x:c r="D34" s="96"/>
      <x:c r="E34" s="95" t="str">
        <x:v>Open</x:v>
      </x:c>
      <x:c r="F34" s="77"/>
      <x:c r="G34" s="77"/>
      <x:c r="H34" s="77"/>
    </x:row>
  </x:sheetData>
  <x:mergeCells>
    <x:mergeCell ref="A1:H1"/>
    <x:mergeCell ref="A2:H2"/>
    <x:mergeCell ref="A4:H4"/>
    <x:mergeCell ref="A16:H16"/>
    <x:mergeCell ref="A25:H25"/>
  </x:mergeCells>
  <x:dataValidations count="2">
    <x:dataValidation type="list" sqref="C17:C22">
      <x:formula1>"Validate,Confirmed,Rejected,Revised"</x:formula1>
    </x:dataValidation>
    <x:dataValidation type="list" sqref="E27:E34">
      <x:formula1>"Open,In Review,Decided,Deferred"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6" hidden="0" customWidth="1"/>
    <x:col min="2" max="2" width="70" hidden="0" customWidth="1"/>
    <x:col min="3" max="3" width="72" hidden="0" customWidth="1"/>
    <x:col min="4" max="4" width="12" hidden="0" customWidth="1"/>
    <x:col min="5" max="5" width="12" hidden="0" customWidth="1"/>
    <x:col min="6" max="6" width="12" hidden="0" customWidth="1"/>
  </x:cols>
  <x:sheetData>
    <x:row r="1" ht="34" customHeight="1">
      <x:c r="A1" s="43" t="str">
        <x:v>Official Sources and Validation Notes</x:v>
      </x:c>
      <x:c r="B1" s="43" t="str">
        <x:v>Official Sources and Validation Notes</x:v>
      </x:c>
      <x:c r="C1" s="43" t="str">
        <x:v>Official Sources and Validation Notes</x:v>
      </x:c>
      <x:c r="D1" s="43" t="str">
        <x:v>Official Sources and Validation Notes</x:v>
      </x:c>
      <x:c r="E1" s="43" t="str">
        <x:v>Official Sources and Validation Notes</x:v>
      </x:c>
      <x:c r="F1" s="43" t="str">
        <x:v>Official Sources and Validation Notes</x:v>
      </x:c>
    </x:row>
    <x:row r="2" ht="28" customHeight="1">
      <x:c r="A2" s="66" t="str">
        <x:v>Sources support preliminary product and integration observations. They do not replace fit-gap validation against DDC5I licensing, release, configuration, or authorization.</x:v>
      </x:c>
      <x:c r="B2" s="66" t="str">
        <x:v>Sources support preliminary product and integration observations. They do not replace fit-gap validation against DDC5I licensing, release, configuration, or authorization.</x:v>
      </x:c>
      <x:c r="C2" s="66" t="str">
        <x:v>Sources support preliminary product and integration observations. They do not replace fit-gap validation against DDC5I licensing, release, configuration, or authorization.</x:v>
      </x:c>
      <x:c r="D2" s="66" t="str">
        <x:v>Sources support preliminary product and integration observations. They do not replace fit-gap validation against DDC5I licensing, release, configuration, or authorization.</x:v>
      </x:c>
      <x:c r="E2" s="66" t="str">
        <x:v>Sources support preliminary product and integration observations. They do not replace fit-gap validation against DDC5I licensing, release, configuration, or authorization.</x:v>
      </x:c>
      <x:c r="F2" s="66" t="str">
        <x:v>Sources support preliminary product and integration observations. They do not replace fit-gap validation against DDC5I licensing, release, configuration, or authorization.</x:v>
      </x:c>
    </x:row>
    <x:row r="3">
      <x:c r="A3" s="77"/>
      <x:c r="B3" s="77"/>
      <x:c r="C3" s="77"/>
      <x:c r="D3" s="77"/>
      <x:c r="E3" s="77"/>
      <x:c r="F3" s="77"/>
    </x:row>
    <x:row r="4" ht="30" customHeight="1">
      <x:c r="A4" s="69" t="str">
        <x:v>Source</x:v>
      </x:c>
      <x:c r="B4" s="69" t="str">
        <x:v>URL</x:v>
      </x:c>
      <x:c r="C4" s="69" t="str">
        <x:v>Use</x:v>
      </x:c>
      <x:c r="D4" s="77"/>
      <x:c r="E4" s="77"/>
      <x:c r="F4" s="77"/>
    </x:row>
    <x:row r="5">
      <x:c r="A5" s="73" t="str">
        <x:v>ServiceNow Strategic Portfolio Management</x:v>
      </x:c>
      <x:c r="B5" s="73" t="str">
        <x:v>https://www.servicenow.com/products/strategic-portfolio-management.html</x:v>
      </x:c>
      <x:c r="C5" s="73" t="str">
        <x:v>Official overview describing strategy-to-delivery alignment, demand management, project portfolio management, resource optimization, roadmaps, and integrations.</x:v>
      </x:c>
      <x:c r="D5" s="77"/>
      <x:c r="E5" s="77"/>
      <x:c r="F5" s="77"/>
    </x:row>
    <x:row r="6">
      <x:c r="A6" s="73" t="str">
        <x:v>ServiceNow Project Portfolio Management</x:v>
      </x:c>
      <x:c r="B6" s="73" t="str">
        <x:v>https://www.servicenow.com/products/project-portfolio-management.html</x:v>
      </x:c>
      <x:c r="C6" s="73" t="str">
        <x:v>Official product overview for project and portfolio capabilities.</x:v>
      </x:c>
      <x:c r="D6" s="77"/>
      <x:c r="E6" s="77"/>
      <x:c r="F6" s="77"/>
    </x:row>
    <x:row r="7">
      <x:c r="A7" s="73" t="str">
        <x:v>Microsoft Outlook actionable messages</x:v>
      </x:c>
      <x:c r="B7" s="73" t="str">
        <x:v>https://learn.microsoft.com/en-us/outlook/actionable-messages/get-started</x:v>
      </x:c>
      <x:c r="C7" s="73" t="str">
        <x:v>Official guidance for actionable message cards and sending through Microsoft Graph or SMTP.</x:v>
      </x:c>
      <x:c r="D7" s="77"/>
      <x:c r="E7" s="77"/>
      <x:c r="F7" s="77"/>
    </x:row>
    <x:row r="8">
      <x:c r="A8" s="73" t="str">
        <x:v>Microsoft Graph Outlook mail API</x:v>
      </x:c>
      <x:c r="B8" s="73" t="str">
        <x:v>https://learn.microsoft.com/en-us/graph/api/resources/mail-api-overview?view=graph-rest-1.0</x:v>
      </x:c>
      <x:c r="C8" s="73" t="str">
        <x:v>Official overview for mail, calendar, and contact access in Microsoft 365 and hybrid environments.</x:v>
      </x:c>
      <x:c r="D8" s="77"/>
      <x:c r="E8" s="77"/>
      <x:c r="F8" s="77"/>
    </x:row>
    <x:row r="9">
      <x:c r="A9" s="73" t="str">
        <x:v>Microsoft Graph change notifications</x:v>
      </x:c>
      <x:c r="B9" s="73" t="str">
        <x:v>https://learn.microsoft.com/en-us/graph/api/resources/change-notifications-api-overview?view=graph-rest-1.0</x:v>
      </x:c>
      <x:c r="C9" s="73" t="str">
        <x:v>Official guidance for subscribing to data changes through webhooks and other endpoints.</x:v>
      </x:c>
      <x:c r="D9" s="77"/>
      <x:c r="E9" s="77"/>
      <x:c r="F9" s="77"/>
    </x:row>
    <x:row r="10">
      <x:c r="A10" s="73" t="str">
        <x:v>Smartsheet Project and Portfolio Management</x:v>
      </x:c>
      <x:c r="B10" s="73" t="str">
        <x:v>https://www.smartsheet.com/solutions/project-portfolio-management</x:v>
      </x:c>
      <x:c r="C10" s="73" t="str">
        <x:v>Official benchmark for portfolio value at scale, multi-tier intake, prioritization, resource planning, reusable blueprints, methodology flexibility, automation, and portfolio reporting.</x:v>
      </x:c>
      <x:c r="D10" s="77"/>
      <x:c r="E10" s="77"/>
      <x:c r="F10" s="77"/>
    </x:row>
    <x:row r="11">
      <x:c r="A11" s="73" t="str">
        <x:v>Triskell Enterprise PPM</x:v>
      </x:c>
      <x:c r="B11" s="73" t="str">
        <x:v>https://triskellsoftware.com/</x:v>
      </x:c>
      <x:c r="C11" s="73" t="str">
        <x:v>Official benchmark for linking objectives, initiatives, programs, and portfolios across an enterprise.</x:v>
      </x:c>
      <x:c r="D11" s="77"/>
      <x:c r="E11" s="77"/>
      <x:c r="F11" s="77"/>
    </x:row>
    <x:row r="12">
      <x:c r="A12" s="73" t="str">
        <x:v>Triskell PPM Solutions</x:v>
      </x:c>
      <x:c r="B12" s="73" t="str">
        <x:v>https://triskellsoftware.com/solutions/</x:v>
      </x:c>
      <x:c r="C12" s="73" t="str">
        <x:v>Official benchmark for strategic, project, agile, IT, resource, demand, financial, and what-if portfolio capabilities.</x:v>
      </x:c>
      <x:c r="D12" s="77"/>
      <x:c r="E12" s="77"/>
      <x:c r="F12" s="77"/>
    </x:row>
    <x:row r="13">
      <x:c r="A13" s="73" t="str">
        <x:v>Triskell Enterprise PPM Product Demo</x:v>
      </x:c>
      <x:c r="B13" s="73" t="str">
        <x:v>https://triskellsoftware.com/product-demos/triskell-demo-triskell-ppm-enterprise-project-portfolio-management-software/</x:v>
      </x:c>
      <x:c r="C13" s="73" t="str">
        <x:v>Official companion source for centralized portfolio data, prioritization, collaboration, resource optimization, and real-time monitoring.</x:v>
      </x:c>
      <x:c r="D13" s="77"/>
      <x:c r="E13" s="77"/>
      <x:c r="F13" s="77"/>
    </x:row>
    <x:row r="14">
      <x:c r="A14" s="73" t="str">
        <x:v>Triskell Enterprise PPM Demonstration Video</x:v>
      </x:c>
      <x:c r="B14" s="73" t="str">
        <x:v>https://www.youtube.com/watch?v=QKpQ7tIa9To&amp;t=13s</x:v>
      </x:c>
      <x:c r="C14" s="73" t="str">
        <x:v>Demonstration reference for hierarchical portfolios and Gantt-style planning; treated as a supplemental visual benchmark rather than the sole source for requirements.</x:v>
      </x:c>
      <x:c r="D14" s="77"/>
      <x:c r="E14" s="77"/>
      <x:c r="F14" s="77"/>
    </x:row>
  </x:sheetData>
  <x:mergeCells>
    <x:mergeCell ref="A1:F1"/>
    <x:mergeCell ref="A2:F2"/>
  </x:mergeCells>
  <x:pageMargins left="0.7" right="0.7" top="0.75" bottom="0.75" header="0.3" footer="0.3"/>
</x:worksheet>
</file>